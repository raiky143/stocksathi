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5BC1113A93A7AC74BB4D93740B31586F2FF0F62D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Verdict" sheetId="1" r:id="rId1"/>
    <sheet name="P&amp;L Statement" sheetId="2" r:id="rId2"/>
    <sheet name="Balance Sheet" sheetId="3" r:id="rId3"/>
    <sheet name="Cash Flow" sheetId="4" r:id="rId4"/>
    <sheet name="WACC" sheetId="5" r:id="rId5"/>
    <sheet name="DCF" sheetId="6" r:id="rId6"/>
    <sheet name="Trading Multiples" sheetId="7" r:id="rId7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5" l="1"/>
  <c r="D17" i="5"/>
</calcChain>
</file>

<file path=xl/sharedStrings.xml><?xml version="1.0" encoding="utf-8"?>
<sst xmlns="http://schemas.openxmlformats.org/spreadsheetml/2006/main" count="362" uniqueCount="297">
  <si>
    <t>📊  STOCK SATHI  |  AMARA RAJA ENERGY &amp; MOBILITY VALUATION REPORT  |  March 2026  [Deep Research v2]</t>
  </si>
  <si>
    <t>Amara Raja Energy &amp; Mobility Limited  (NSE: ARE&amp;M)</t>
  </si>
  <si>
    <t>Current Market Price</t>
  </si>
  <si>
    <t>₹808.00</t>
  </si>
  <si>
    <t>52-Week Range</t>
  </si>
  <si>
    <t>₹781 — ₹1,109</t>
  </si>
  <si>
    <t>Market Capitalisation</t>
  </si>
  <si>
    <t>₹14,784 Crores</t>
  </si>
  <si>
    <t>Shares Outstanding</t>
  </si>
  <si>
    <t>18.3 Crores  (FV ₹1  |  Paid-up ₹18.3 Cr)</t>
  </si>
  <si>
    <t>Industry</t>
  </si>
  <si>
    <t>Lead-Acid &amp; Lithium Battery Manufacturer — Automotive &amp; Industrial</t>
  </si>
  <si>
    <t>Country</t>
  </si>
  <si>
    <t>India  |  Promoter: Galla Family — 32.86%  |  Zero promoter pledge</t>
  </si>
  <si>
    <t>⚠️  EARNINGS QUALITY NOTE:  FY25 PAT ₹964 Cr on ₹12,405 Cr revenue (7.8% net margin). EBITDA margin ~13.2% — healthy vs peers. Other income ₹199 Cr (mainly investment returns &amp; treasury — ~21% of PAT). CORE operating PAT ex-other income ≈ ₹815 Cr. FY26E PAT under pressure (9M FY26 = ₹648 Cr, Q3 FY26 PAT fell -53% YoY on margin compression). New Energy capex cycle (~₹3,500 Cr Gigafactory) weighing on near-term earnings.</t>
  </si>
  <si>
    <t>VALUATION SUMMARY  [Primary: P/E | P/B also relevant — EV/EBITDA useful here at 13% margin]</t>
  </si>
  <si>
    <t>Method</t>
  </si>
  <si>
    <t>Fair Value (₹)</t>
  </si>
  <si>
    <t>Upside / Downside</t>
  </si>
  <si>
    <t>Verdict</t>
  </si>
  <si>
    <t>Equity DCF (PAT-based, 10% growth, Ke 13.5%)</t>
  </si>
  <si>
    <t>▲ FAIRLY VALUED</t>
  </si>
  <si>
    <t>P/E 18x × FY25 EPS ₹52.66</t>
  </si>
  <si>
    <t>P/E 22x × FY25 EPS ₹52.66  (sector premium)</t>
  </si>
  <si>
    <t>▲ UPSIDE</t>
  </si>
  <si>
    <t>Average of All Methods</t>
  </si>
  <si>
    <t>▲ MODERATELY UNDERVALUED</t>
  </si>
  <si>
    <t>KEY FINANCIAL METRICS  (Verified from Screener / BSE Filings)</t>
  </si>
  <si>
    <t>Metric</t>
  </si>
  <si>
    <t>Value</t>
  </si>
  <si>
    <t>Revenue (FY25)</t>
  </si>
  <si>
    <t>₹12,405 Cr</t>
  </si>
  <si>
    <t>EBITDA (FY25)</t>
  </si>
  <si>
    <t>₹1,634 Cr  (13.2%)</t>
  </si>
  <si>
    <t>Operating Profit (FY25)</t>
  </si>
  <si>
    <t>Other Income (FY25)</t>
  </si>
  <si>
    <t>₹199 Cr  (treasury/investments)</t>
  </si>
  <si>
    <t>PAT (FY25 reported)</t>
  </si>
  <si>
    <t>₹964 Cr</t>
  </si>
  <si>
    <t>PAT TTM (Dec 2025)</t>
  </si>
  <si>
    <t>~₹815 Cr  (declining ⚠)</t>
  </si>
  <si>
    <t>EPS FY25</t>
  </si>
  <si>
    <t>₹52.66/share</t>
  </si>
  <si>
    <t>EPS TTM (Dec 2025)</t>
  </si>
  <si>
    <t>₹44.52/share  (declining)</t>
  </si>
  <si>
    <t>P/E (FY25)</t>
  </si>
  <si>
    <t>15.3x</t>
  </si>
  <si>
    <t>P/E (TTM)</t>
  </si>
  <si>
    <t>18.1x</t>
  </si>
  <si>
    <t>P/E Fwd FY26E</t>
  </si>
  <si>
    <t>~22x</t>
  </si>
  <si>
    <t>Net Debt (FY25)</t>
  </si>
  <si>
    <t>₹-1,740 Cr  (NET CASH ✓)</t>
  </si>
  <si>
    <t>Debt</t>
  </si>
  <si>
    <t>Virtually zero (₹258 Cr gross)</t>
  </si>
  <si>
    <t>P/B Ratio</t>
  </si>
  <si>
    <t>1.9x  (BV ₹425)</t>
  </si>
  <si>
    <t>Dividend Yield</t>
  </si>
  <si>
    <t>1.33%</t>
  </si>
  <si>
    <t>Promoter Holding</t>
  </si>
  <si>
    <t>32.86%  |  Zero pledge  ✓</t>
  </si>
  <si>
    <t>EBITDA Margin FY25</t>
  </si>
  <si>
    <t>13.2%</t>
  </si>
  <si>
    <t>ROE FY25</t>
  </si>
  <si>
    <t>12.3%  (3yr avg 14%)</t>
  </si>
  <si>
    <t>Revenue CAGR 5yr</t>
  </si>
  <si>
    <t>13%</t>
  </si>
  <si>
    <t>PAT CAGR 3yr</t>
  </si>
  <si>
    <t>20%  (FY26 declining ⚠)</t>
  </si>
  <si>
    <t>🏆  FINAL VERDICT</t>
  </si>
  <si>
    <t>▲  AMARA RAJA ENERGY &amp; MOBILITY — FAIRLY TO MODERATELY UNDERVALUED at ₹808  [Deep Research Conclusion]
At ₹808, ARE&amp;M trades at ~15x FY25 P/E and ~1.9x P/B — a significant discount vs historical averages (20-25x P/E). The stock has corrected ~27% from its ₹1,109 peak, creating a potential value opportunity.
BULL CASE:  (1) Market leader in Indian lead-acid batteries with ~35% market share (Amaron brand). (2) Near-zero debt + net cash of ₹1,740 Cr — fortress balance sheet. (3) New Energy (EV batteries, Li-ion Gigafactory) provides long-term optionality. (4) Revenue CAGR 13% over 5yrs; 13.2% EBITDA margin improving from FY22 lows. (5) Dividend yield 1.33% adds to total return.
BEAR CASE:  (1) FY26 PAT under severe pressure — Q3 FY26 PAT fell 53% YoY to ₹140 Cr. (2) ₹3,500+ Cr Gigafactory capex depresses FCF for 3-4 years. (3) EV disruption risk to core lead-acid business over 5-7yr horizon. (4) Promoter holding only 32.86% — lower skin-in-game vs peers. (5) Lead price volatility impacts margins.
⚡ Jesse Livermore view: Stock in a downtrend (below 200DMA ₹947). Wait for earnings stabilization (Q1 FY27) before entry. Fair entry zone: ₹750–₹850 for long-term investors. Target: ₹950–₹1,100 on 18-22x FY27E EPS ₹52-60.</t>
  </si>
  <si>
    <t>⚠ Not SEBI registered. For educational purposes only. Do your own research before investing.</t>
  </si>
  <si>
    <t>STOCK SATHI  |  stocksathi.netlify.app  |  Not SEBI Registered  |  Educational Purposes Only</t>
  </si>
  <si>
    <t>📋  PROFIT &amp; LOSS STATEMENT  |  AMARA RAJA ENERGY &amp; MOBILITY  (₹ Crores, Standalone — Verified BSE/Screener)</t>
  </si>
  <si>
    <t>Income Statement  (₹ Crores)  |  FY2021–FY2025  |  Source: BSE Filings / Screener.in  |  ✓ Healthy operating margins 12-16%. Other income ~2% of PAT — NOT an earnings quality concern unlike RVNL.</t>
  </si>
  <si>
    <t>Item</t>
  </si>
  <si>
    <t>FY2021</t>
  </si>
  <si>
    <t>FY2022</t>
  </si>
  <si>
    <t>FY2023</t>
  </si>
  <si>
    <t>FY2024</t>
  </si>
  <si>
    <t>FY2025</t>
  </si>
  <si>
    <t>Revenue from Operations (Net Sales)</t>
  </si>
  <si>
    <t xml:space="preserve">    ↳ Revenue Growth %</t>
  </si>
  <si>
    <t>—</t>
  </si>
  <si>
    <t>Total Expenditure</t>
  </si>
  <si>
    <t>Operating Profit (EBITDA)</t>
  </si>
  <si>
    <t xml:space="preserve">    ↳ EBITDA Margin %</t>
  </si>
  <si>
    <t>Other Income  (treasury, investments)</t>
  </si>
  <si>
    <t xml:space="preserve">    ↳ Other Income / Operating Profit</t>
  </si>
  <si>
    <t>Depreciation</t>
  </si>
  <si>
    <t>Interest Expense</t>
  </si>
  <si>
    <t>Profit Before Tax</t>
  </si>
  <si>
    <t>Tax Expense</t>
  </si>
  <si>
    <t>Net Profit After Tax (Reported)</t>
  </si>
  <si>
    <t xml:space="preserve">    ↳ Net Margin % (reported)</t>
  </si>
  <si>
    <t>EPS — Reported (₹/share)</t>
  </si>
  <si>
    <t>★ FWD: PAT FY26E (9M=₹648Cr) / FY27E</t>
  </si>
  <si>
    <t>📌  OTHER INCOME BREAKDOWN (FY25 ₹199 Cr):  Primarily investment returns on ₹1,998 Cr investments (mutual funds, bonds). Unlike RVNL, this is clean treasury income — NOT project-linked or govt-advance-dependent. EBITDA margin 13.2% FY25 vs 5.7% for RVNL. FY26 margins under pressure from EV warranty costs + rising employee expenses. 9M FY26 PAT = ₹648 Cr (Q3 fell -53% YoY to ₹140 Cr). FY26E full year PAT ≈ ₹780-820 Cr.</t>
  </si>
  <si>
    <t>🏦  BALANCE SHEET  |  AMARA RAJA ENERGY &amp; MOBILITY  (₹ Crores, Standalone — Verified from Screener/BSE)</t>
  </si>
  <si>
    <t>Balance Sheet  (₹ Crores)  |  FY2021–FY2025  |  ✓ Virtually debt-free. Net cash positive ₹1,740 Cr (FY25). Investing ₹3,500 Cr in Gigafactory — watch capex cycle.</t>
  </si>
  <si>
    <t>ASSETS</t>
  </si>
  <si>
    <t>Cash &amp; Equivalents + Short-term Investments</t>
  </si>
  <si>
    <t>Other Current Assets (receivables, inventory, advances)</t>
  </si>
  <si>
    <t>Total Current Assets</t>
  </si>
  <si>
    <t>Net Fixed Assets  (incl. CWIP)</t>
  </si>
  <si>
    <t>Investments (MFs, bonds, subsidiaries)</t>
  </si>
  <si>
    <t>Other Non-current Assets</t>
  </si>
  <si>
    <t>Total Assets</t>
  </si>
  <si>
    <t>LIABILITIES</t>
  </si>
  <si>
    <t>Borrowings (NEAR ZERO — almost debt-free ✓)</t>
  </si>
  <si>
    <t>Other NC + Current Liabilities</t>
  </si>
  <si>
    <t>Total Liabilities (excl. equity)</t>
  </si>
  <si>
    <t>EQUITY</t>
  </si>
  <si>
    <t>Share Capital</t>
  </si>
  <si>
    <t>Reserves</t>
  </si>
  <si>
    <t>Total Shareholders' Equity</t>
  </si>
  <si>
    <t>KEY RATIOS</t>
  </si>
  <si>
    <t>Net Cash (Cash + Investments − Borrowings) ✓</t>
  </si>
  <si>
    <t>Debt / Equity</t>
  </si>
  <si>
    <t>Current Ratio</t>
  </si>
  <si>
    <t>Book Value / Share (₹)</t>
  </si>
  <si>
    <t>P/B (at CMP ₹808)</t>
  </si>
  <si>
    <t>ROE %</t>
  </si>
  <si>
    <t>ROCE %</t>
  </si>
  <si>
    <t>💵  CASH FLOW  |  AMARA RAJA ENERGY &amp; MOBILITY  (₹ Crores — Verified from BSE/Screener)</t>
  </si>
  <si>
    <t>Cash Flow (₹ Crores) | FY2021–FY2025 | Source: Screener.in/BSE | ★ Strong OCF converting earnings well. CFO/PAT avg ~1.3x. Heavy investing outflows from Gigafactory capex FY23 onwards.</t>
  </si>
  <si>
    <t>Operating Cash Flow (OCF) — Verified</t>
  </si>
  <si>
    <t xml:space="preserve">    ↳ OCF / PAT</t>
  </si>
  <si>
    <t>Investing Cash Flow</t>
  </si>
  <si>
    <t>Capital Expenditure</t>
  </si>
  <si>
    <t>Free Cash Flow (approx.)</t>
  </si>
  <si>
    <t>★ Gigafactory Capex Plan (ongoing)</t>
  </si>
  <si>
    <t>9M FY26 Revenue</t>
  </si>
  <si>
    <t>9M FY26 PAT</t>
  </si>
  <si>
    <t>★ FY26E PAT (est. ~₹800 Cr)</t>
  </si>
  <si>
    <t>★ FWD P/E at CMP ₹808 (FY26E)</t>
  </si>
  <si>
    <t>📌  CAPEX CYCLE EXPLAINED:  ARE&amp;M investing ~₹3,500 Cr total in Gigafactory (Li-ion cells, EV battery packs) over FY23-FY27. FY25 investing outflows = ₹1,155 Cr (vs OCF ₹1,375 Cr). FCF positive but thin during capex phase. Once capex peaks (FY26E), FCF should expand significantly from FY28. No debt needed — strong balance sheet funding capex internally. Q3 FY26 PAT crash (₹140 Cr vs ₹312 Cr YoY) driven by warranty provisions + higher employee costs.</t>
  </si>
  <si>
    <t>⚖️  WACC &amp; VALUATION FRAMEWORK  |  AMARA RAJA ENERGY &amp; MOBILITY  [Deep Research v2]</t>
  </si>
  <si>
    <t>WACC = 13.5%  |  ARE&amp;M: Private sector battery leader, virtually debt-free, net cash ₹1,740 Cr. Beta ~0.85 (defensive consumer + auto ancillary; lower than market). Strong balance sheet reduces risk.</t>
  </si>
  <si>
    <t>Component</t>
  </si>
  <si>
    <t>Formula / Note</t>
  </si>
  <si>
    <t>Source</t>
  </si>
  <si>
    <t>── COST OF EQUITY (Ke) ──</t>
  </si>
  <si>
    <t>Risk-Free Rate</t>
  </si>
  <si>
    <t>India 10yr Govt Bond</t>
  </si>
  <si>
    <t>RBI 2025</t>
  </si>
  <si>
    <t>Equity Risk Premium</t>
  </si>
  <si>
    <t>India Auto Ancillary ERP</t>
  </si>
  <si>
    <t>Damodaran 2025</t>
  </si>
  <si>
    <t>Beta</t>
  </si>
  <si>
    <t>5yr weekly vs Nifty. Defensive consumer segment ↓ beta; EV transition risk + capex cycle ↑</t>
  </si>
  <si>
    <t>NSE</t>
  </si>
  <si>
    <t>Cost of Equity Ke</t>
  </si>
  <si>
    <t>Rf + β × ERP = 7.2% + 0.85×6.5%</t>
  </si>
  <si>
    <t>CAPM</t>
  </si>
  <si>
    <t>── COST OF DEBT ──</t>
  </si>
  <si>
    <t>Gross Borrowings FY25 (₹Cr)</t>
  </si>
  <si>
    <t>Near zero debt — essentially equity-funded company</t>
  </si>
  <si>
    <t>BSE Filing</t>
  </si>
  <si>
    <t>Cash + Investments FY25 (₹Cr)</t>
  </si>
  <si>
    <t>Net cash ₹1,740 Cr</t>
  </si>
  <si>
    <t>Screener</t>
  </si>
  <si>
    <t>Pre-tax Cost of Debt</t>
  </si>
  <si>
    <t>AA+ rated; near risk-free borrowing rate</t>
  </si>
  <si>
    <t>CRISIL 2026</t>
  </si>
  <si>
    <t>After-tax Kd</t>
  </si>
  <si>
    <t>7.5% × (1−0.26 tax rate)</t>
  </si>
  <si>
    <t>── CAPITAL STRUCTURE ──</t>
  </si>
  <si>
    <t>Mkt Cap (₹ Cr)</t>
  </si>
  <si>
    <t>18.3 Cr shares × ₹808</t>
  </si>
  <si>
    <t>NSE March 2026</t>
  </si>
  <si>
    <t>Gross Debt (₹ Cr)</t>
  </si>
  <si>
    <t>FY25 Borrowings</t>
  </si>
  <si>
    <t>Weight of Equity (We)</t>
  </si>
  <si>
    <t>Weight of Debt (Wd)</t>
  </si>
  <si>
    <t>★ WACC</t>
  </si>
  <si>
    <t>We×Ke + Wd×Kd(1-t)</t>
  </si>
  <si>
    <t>Final WACC</t>
  </si>
  <si>
    <t>── WHY P/E IS PRIMARY METRIC ──</t>
  </si>
  <si>
    <t>EV/EBITDA utility</t>
  </si>
  <si>
    <t>EBITDA margin 13.2% → EV/EBITDA = ~10x (reasonable vs peers 8-14x)</t>
  </si>
  <si>
    <t>P/E on full PAT</t>
  </si>
  <si>
    <t>Market uses reported PAT. FY25 P/E = 15.3x (attractive vs 20-25x historical)</t>
  </si>
  <si>
    <t>P/E on FY26E</t>
  </si>
  <si>
    <t>FY26E PAT ~₹800 Cr → fwd P/E = 18.5x vs sector 18-22x (fair)</t>
  </si>
  <si>
    <t>Conclusion</t>
  </si>
  <si>
    <t>At ₹808, valuation is attractive to fair. Discount vs own history. Re-rating catalyst = earnings recovery in FY27.</t>
  </si>
  <si>
    <t>💰  EQUITY DCF + P/E VALUATION  |  AMARA RAJA ENERGY &amp; MOBILITY  [Verified Data — Deep Research v2]</t>
  </si>
  <si>
    <t>All methods suggest ARE&amp;M is FAIRLY VALUED to MODERATELY UNDERVALUED at ₹808. DCF = ₹920. P/E 18x FY25 = ₹948. P/E 22x FY25 = ₹1,158. Avg = ₹1,009. Upside: +25%.</t>
  </si>
  <si>
    <t>PART A — EQUITY DCF (PAT-based, reported PAT)</t>
  </si>
  <si>
    <t>Assumptions</t>
  </si>
  <si>
    <t>Base PAT (FY25, verified)</t>
  </si>
  <si>
    <t>PAT Growth Rate</t>
  </si>
  <si>
    <t>10% p.a.  [conservative; FY26 dip then recovery to 10-12% from FY27]</t>
  </si>
  <si>
    <t>Discount Rate (Ke)</t>
  </si>
  <si>
    <t>13.5%  (beta 0.85 on rf 7.2% + ERP 6.5%)</t>
  </si>
  <si>
    <t>Terminal Growth Rate</t>
  </si>
  <si>
    <t>5.0%</t>
  </si>
  <si>
    <t>Note</t>
  </si>
  <si>
    <t>FY26E PAT declining to ~₹800 Cr (9M FY26 = ₹648 Cr, Q3 PAT -53% YoY)  ⚠</t>
  </si>
  <si>
    <t>FY2026E</t>
  </si>
  <si>
    <t>FY2027E</t>
  </si>
  <si>
    <t>FY2028E</t>
  </si>
  <si>
    <t>FY2029E</t>
  </si>
  <si>
    <t>FY2030E</t>
  </si>
  <si>
    <t>Terminal</t>
  </si>
  <si>
    <t>PAT (₹ Cr)</t>
  </si>
  <si>
    <t>Discount Factor</t>
  </si>
  <si>
    <t>Present Value</t>
  </si>
  <si>
    <t>DCF BRIDGE</t>
  </si>
  <si>
    <t>PV of PATs (5yr)</t>
  </si>
  <si>
    <t>(+) PV of Terminal Value</t>
  </si>
  <si>
    <t>Equity Value (₹ Cr)</t>
  </si>
  <si>
    <t>★ DCF FV/Share (÷ 18.3 Cr shares)</t>
  </si>
  <si>
    <t>Upside vs CMP ₹808</t>
  </si>
  <si>
    <t>PART B — P/E MULTIPLES  (Primary method — full range)</t>
  </si>
  <si>
    <t>Scenario</t>
  </si>
  <si>
    <t>EPS (₹/sh)</t>
  </si>
  <si>
    <t>P/E Mult</t>
  </si>
  <si>
    <t>FV ₹</t>
  </si>
  <si>
    <t>vs ₹808</t>
  </si>
  <si>
    <t>FY25 Reported EPS, 15x  (bear case)</t>
  </si>
  <si>
    <t>15x</t>
  </si>
  <si>
    <t>↔ FAIR</t>
  </si>
  <si>
    <t>FY25 Reported EPS, 18x  (base case)</t>
  </si>
  <si>
    <t>18x</t>
  </si>
  <si>
    <t>FY25 Reported EPS, 22x  (bull case)</t>
  </si>
  <si>
    <t>22x</t>
  </si>
  <si>
    <t>▲ STRONG UPSIDE</t>
  </si>
  <si>
    <t>FY25 Reported EPS, 25x  (peak mult)</t>
  </si>
  <si>
    <t>25x</t>
  </si>
  <si>
    <t>▲ PEAK BULL</t>
  </si>
  <si>
    <t>TTM EPS ₹44.52, 18x</t>
  </si>
  <si>
    <t>↔ FAIR VALUE</t>
  </si>
  <si>
    <t>FY26E EPS ₹43.7, 18x  (consensus)</t>
  </si>
  <si>
    <t>↔ NEAR FAIR</t>
  </si>
  <si>
    <t>FY27E EPS ₹57.4, 18x</t>
  </si>
  <si>
    <t>FY27E EPS ₹57.4, 22x  (re-rating)</t>
  </si>
  <si>
    <t>⚡ DEEP RESEARCH CONCLUSION:  At ₹808, ARE&amp;M appears fairly to moderately undervalued on most metrics. The base case (18x P/E on FY25 EPS) gives ₹948 (+17% upside). Bull case (22x P/E on FY27E EPS) = ₹1,263 (+56%). KEY RISK: FY26 earnings trough. If Q4 FY26 disappoints further, stock could test ₹750-780. For long-term investors: zone ₹750-850 offers good risk/reward for 12-18 month horizon. CATALYST: Earnings recovery in FY27 + New Energy revenue inflection (targeting 5-8% revenue share by FY27).</t>
  </si>
  <si>
    <t>📈  TRADING MULTIPLES  |  AMARA RAJA ENERGY &amp; MOBILITY  vs  BATTERY &amp; AUTO ANCILLARY PEERS  [Deep Research v2]</t>
  </si>
  <si>
    <t>CMP ₹808 | Mkt Cap ₹14,784 Cr | EV ~₹13,044 Cr (net cash adj.) | P/E 15.3x (FY25) / 18.1x (TTM) | ✓ Significantly cheaper than historical 20-25x P/E. Downside limited at current levels.</t>
  </si>
  <si>
    <t>Multiple</t>
  </si>
  <si>
    <t>ARE&amp;M Value</t>
  </si>
  <si>
    <t>Peer Median</t>
  </si>
  <si>
    <t>Premium/Discount</t>
  </si>
  <si>
    <t>Upside</t>
  </si>
  <si>
    <t>P/E (FY25 reported PAT)</t>
  </si>
  <si>
    <t>P/E (TTM — recovering)</t>
  </si>
  <si>
    <t>18.0x</t>
  </si>
  <si>
    <t>Price / Book</t>
  </si>
  <si>
    <t>1.9x</t>
  </si>
  <si>
    <t>2.5x</t>
  </si>
  <si>
    <t>EV/EBITDA (net cash adj.)</t>
  </si>
  <si>
    <t>8.0x</t>
  </si>
  <si>
    <t>10.0x</t>
  </si>
  <si>
    <t>EV/Revenue</t>
  </si>
  <si>
    <t>1.05x</t>
  </si>
  <si>
    <t>1.0x</t>
  </si>
  <si>
    <t>BATTERY &amp; AUTO ANCILLARY PEER COMPARISON  (Verified Peers)</t>
  </si>
  <si>
    <t>Ticker</t>
  </si>
  <si>
    <t>Company</t>
  </si>
  <si>
    <t>Mkt Cap</t>
  </si>
  <si>
    <t>P/E</t>
  </si>
  <si>
    <t>EBITDA Margin</t>
  </si>
  <si>
    <t>Business</t>
  </si>
  <si>
    <t>ARE&amp;M</t>
  </si>
  <si>
    <t>Amara Raja Energy &amp; Mobility (India)</t>
  </si>
  <si>
    <t>₹14,784 Cr</t>
  </si>
  <si>
    <t>Lead-acid + Li-ion batteries</t>
  </si>
  <si>
    <t>EXIDEIND</t>
  </si>
  <si>
    <t>Exide Industries  (India)</t>
  </si>
  <si>
    <t>₹24,000 Cr</t>
  </si>
  <si>
    <t>22.0x</t>
  </si>
  <si>
    <t>10.5%</t>
  </si>
  <si>
    <t>Lead-acid batteries</t>
  </si>
  <si>
    <t>LUMAXTECH</t>
  </si>
  <si>
    <t>Lumax Auto Technologies (India)</t>
  </si>
  <si>
    <t>₹3,500 Cr</t>
  </si>
  <si>
    <t>16.0x</t>
  </si>
  <si>
    <t>8.5%</t>
  </si>
  <si>
    <t>Auto ancillaries</t>
  </si>
  <si>
    <t>MOTHERSON</t>
  </si>
  <si>
    <t>Samvardhana Motherson (India)</t>
  </si>
  <si>
    <t>₹62,000 Cr</t>
  </si>
  <si>
    <t>24.0x</t>
  </si>
  <si>
    <t>7.0%</t>
  </si>
  <si>
    <t>SUNDRMFAST</t>
  </si>
  <si>
    <t>Sundram Fasteners (India)</t>
  </si>
  <si>
    <t>₹12,500 Cr</t>
  </si>
  <si>
    <t>28.0x</t>
  </si>
  <si>
    <t>15.0%</t>
  </si>
  <si>
    <t>Auto components</t>
  </si>
  <si>
    <t>CRAFTSMAN</t>
  </si>
  <si>
    <t>Craftsman Automation (India)</t>
  </si>
  <si>
    <t>₹5,800 Cr</t>
  </si>
  <si>
    <t>18.0%</t>
  </si>
  <si>
    <t>Peer Median P/E: 18-24x (private auto/battery sector). ARE&amp;M at 15.3x = meaningful DISCOUNT to peers. ARE&amp;M's 13.2% EBITDA margin superior to Exide (10.5%) and Motherson (7%). ARE&amp;M deserves premium vs lead-acid peers given New Energy optionality and strong balance sheet. At 18-22x FY25 P/E, FV = ₹948–₹1,158 vs CMP ₹808 — indicating 17-43% upside. Near-term overhang: FY26 earnings trough. Long-term: Li-ion Gigafactory is a transformational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</si>
</sst>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6" formatCode="0.00\x"/>
    <numFmt numFmtId="167" formatCode="0.0\x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9"/>
      <color rgb="FF7F000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9"/>
      <name val="Arial"/>
      <charset val="1"/>
    </font>
    <font>
      <i/>
      <sz val="9"/>
      <color rgb="FF7F7F7F"/>
      <name val="Arial"/>
      <charset val="1"/>
    </font>
    <font>
      <i/>
      <sz val="9"/>
      <color rgb="FF404040"/>
      <name val="Arial"/>
      <charset val="1"/>
    </font>
    <font>
      <i/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2F2F2"/>
      </patternFill>
    </fill>
    <fill>
      <patternFill patternType="solid">
        <fgColor rgb="FF2F5496"/>
        <bgColor rgb="FF1F3864"/>
      </patternFill>
    </fill>
    <fill>
      <patternFill patternType="solid">
        <fgColor rgb="FFE2EFDA"/>
        <bgColor rgb="FFEBF1FA"/>
      </patternFill>
    </fill>
    <fill>
      <patternFill patternType="solid">
        <fgColor rgb="FFEBF1FA"/>
        <bgColor rgb="FFF2F2F2"/>
      </patternFill>
    </fill>
    <fill>
      <patternFill patternType="solid">
        <fgColor rgb="FFF2F2F2"/>
        <bgColor rgb="FFEBF1FA"/>
      </patternFill>
    </fill>
    <fill>
      <patternFill patternType="solid">
        <fgColor rgb="FFD6E4F7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7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top" wrapText="1"/>
    </xf>
    <xf numFmtId="0" fontId="10" fillId="6" borderId="0" xfId="0" applyFont="1" applyFill="1" applyBorder="1" applyAlignment="1">
      <alignment vertical="top" wrapText="1"/>
    </xf>
    <xf numFmtId="0" fontId="9" fillId="7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8" fillId="5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top" wrapText="1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right" vertical="center"/>
    </xf>
    <xf numFmtId="165" fontId="4" fillId="6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3" fontId="4" fillId="8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right" vertical="center"/>
    </xf>
    <xf numFmtId="3" fontId="4" fillId="3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5" borderId="2" xfId="0" applyFont="1" applyFill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2" fontId="4" fillId="6" borderId="2" xfId="0" applyNumberFormat="1" applyFont="1" applyFill="1" applyBorder="1" applyAlignment="1">
      <alignment horizontal="right" vertical="center"/>
    </xf>
    <xf numFmtId="167" fontId="4" fillId="3" borderId="2" xfId="0" applyNumberFormat="1" applyFont="1" applyFill="1" applyBorder="1" applyAlignment="1">
      <alignment horizontal="right" vertical="center"/>
    </xf>
    <xf numFmtId="10" fontId="4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top" wrapText="1"/>
    </xf>
    <xf numFmtId="10" fontId="4" fillId="6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vertical="top" wrapText="1"/>
    </xf>
    <xf numFmtId="0" fontId="4" fillId="0" borderId="2" xfId="0" applyFont="1" applyBorder="1" applyAlignment="1">
      <alignment horizontal="right" vertical="center"/>
    </xf>
    <xf numFmtId="10" fontId="4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vertical="top" wrapText="1"/>
    </xf>
    <xf numFmtId="3" fontId="4" fillId="6" borderId="2" xfId="0" applyNumberFormat="1" applyFont="1" applyFill="1" applyBorder="1" applyAlignment="1">
      <alignment horizontal="right" vertical="center"/>
    </xf>
    <xf numFmtId="2" fontId="4" fillId="3" borderId="2" xfId="0" applyNumberFormat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BF1FA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7" zoomScaleNormal="100" workbookViewId="0">
      <selection activeCell="B24" sqref="B24"/>
    </sheetView>
  </sheetViews>
  <sheetFormatPr defaultColWidth="8.7421875" defaultRowHeight="15" x14ac:dyDescent="0.2"/>
  <cols>
    <col min="1" max="1" width="2.015625" style="15" customWidth="1"/>
    <col min="2" max="2" width="42.77734375" style="15" customWidth="1"/>
    <col min="3" max="5" width="22.05859375" style="15" customWidth="1"/>
    <col min="6" max="9" width="2.015625" style="15" customWidth="1"/>
  </cols>
  <sheetData>
    <row r="1" spans="1:9" ht="24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5.75" customHeight="1" x14ac:dyDescent="0.2">
      <c r="B2" s="13" t="s">
        <v>1</v>
      </c>
      <c r="C2" s="13"/>
      <c r="D2" s="13"/>
      <c r="E2" s="13"/>
      <c r="F2" s="13"/>
      <c r="G2" s="13"/>
      <c r="H2" s="13"/>
    </row>
    <row r="3" spans="1:9" ht="15.75" customHeight="1" x14ac:dyDescent="0.2">
      <c r="B3" s="16" t="s">
        <v>2</v>
      </c>
      <c r="C3" s="12" t="s">
        <v>3</v>
      </c>
      <c r="D3" s="12"/>
      <c r="E3" s="12"/>
      <c r="F3" s="12"/>
      <c r="G3" s="12"/>
      <c r="H3" s="12"/>
    </row>
    <row r="4" spans="1:9" ht="15.75" customHeight="1" x14ac:dyDescent="0.2">
      <c r="B4" s="16" t="s">
        <v>4</v>
      </c>
      <c r="C4" s="12" t="s">
        <v>5</v>
      </c>
      <c r="D4" s="12"/>
      <c r="E4" s="12"/>
      <c r="F4" s="12"/>
      <c r="G4" s="12"/>
      <c r="H4" s="12"/>
    </row>
    <row r="5" spans="1:9" ht="15.75" customHeight="1" x14ac:dyDescent="0.2">
      <c r="B5" s="16" t="s">
        <v>6</v>
      </c>
      <c r="C5" s="12" t="s">
        <v>7</v>
      </c>
      <c r="D5" s="12"/>
      <c r="E5" s="12"/>
      <c r="F5" s="12"/>
      <c r="G5" s="12"/>
      <c r="H5" s="12"/>
    </row>
    <row r="6" spans="1:9" ht="15.75" customHeight="1" x14ac:dyDescent="0.2">
      <c r="B6" s="16" t="s">
        <v>8</v>
      </c>
      <c r="C6" s="12" t="s">
        <v>9</v>
      </c>
      <c r="D6" s="12"/>
      <c r="E6" s="12"/>
      <c r="F6" s="12"/>
      <c r="G6" s="12"/>
      <c r="H6" s="12"/>
    </row>
    <row r="7" spans="1:9" ht="15.75" customHeight="1" x14ac:dyDescent="0.2">
      <c r="B7" s="16" t="s">
        <v>10</v>
      </c>
      <c r="C7" s="12" t="s">
        <v>11</v>
      </c>
      <c r="D7" s="12"/>
      <c r="E7" s="12"/>
      <c r="F7" s="12"/>
      <c r="G7" s="12"/>
      <c r="H7" s="12"/>
    </row>
    <row r="8" spans="1:9" ht="15.75" customHeight="1" x14ac:dyDescent="0.2">
      <c r="B8" s="16" t="s">
        <v>12</v>
      </c>
      <c r="C8" s="12" t="s">
        <v>13</v>
      </c>
      <c r="D8" s="12"/>
      <c r="E8" s="12"/>
      <c r="F8" s="12"/>
      <c r="G8" s="12"/>
      <c r="H8" s="12"/>
    </row>
    <row r="9" spans="1:9" ht="60" customHeight="1" x14ac:dyDescent="0.2">
      <c r="B9" s="11" t="s">
        <v>14</v>
      </c>
      <c r="C9" s="11"/>
      <c r="D9" s="11"/>
      <c r="E9" s="11"/>
      <c r="F9" s="11"/>
      <c r="G9" s="11"/>
      <c r="H9" s="11"/>
    </row>
    <row r="10" spans="1:9" ht="15.75" customHeight="1" x14ac:dyDescent="0.2">
      <c r="B10" s="10" t="s">
        <v>15</v>
      </c>
      <c r="C10" s="10"/>
      <c r="D10" s="10"/>
      <c r="E10" s="10"/>
      <c r="F10" s="10"/>
      <c r="G10" s="10"/>
      <c r="H10" s="10"/>
    </row>
    <row r="11" spans="1:9" ht="15.75" customHeight="1" x14ac:dyDescent="0.2">
      <c r="B11" s="17" t="s">
        <v>16</v>
      </c>
      <c r="C11" s="17" t="s">
        <v>17</v>
      </c>
      <c r="D11" s="17" t="s">
        <v>18</v>
      </c>
      <c r="E11" s="17" t="s">
        <v>19</v>
      </c>
    </row>
    <row r="12" spans="1:9" ht="15.75" customHeight="1" x14ac:dyDescent="0.2">
      <c r="B12" s="18" t="s">
        <v>20</v>
      </c>
      <c r="C12" s="19">
        <v>920</v>
      </c>
      <c r="D12" s="20">
        <v>0.13861386138613899</v>
      </c>
      <c r="E12" s="21" t="s">
        <v>21</v>
      </c>
    </row>
    <row r="13" spans="1:9" ht="15.75" customHeight="1" x14ac:dyDescent="0.2">
      <c r="B13" s="18" t="s">
        <v>22</v>
      </c>
      <c r="C13" s="19">
        <v>948</v>
      </c>
      <c r="D13" s="20">
        <v>0.173267326732673</v>
      </c>
      <c r="E13" s="21" t="s">
        <v>21</v>
      </c>
    </row>
    <row r="14" spans="1:9" ht="15.75" customHeight="1" x14ac:dyDescent="0.2">
      <c r="B14" s="18" t="s">
        <v>23</v>
      </c>
      <c r="C14" s="19">
        <v>1158</v>
      </c>
      <c r="D14" s="20">
        <v>0.433168316831683</v>
      </c>
      <c r="E14" s="21" t="s">
        <v>24</v>
      </c>
    </row>
    <row r="15" spans="1:9" ht="15.75" customHeight="1" x14ac:dyDescent="0.2">
      <c r="B15" s="18" t="s">
        <v>25</v>
      </c>
      <c r="C15" s="19">
        <v>1009</v>
      </c>
      <c r="D15" s="20">
        <v>0.24876237623762401</v>
      </c>
      <c r="E15" s="21" t="s">
        <v>26</v>
      </c>
    </row>
    <row r="16" spans="1:9" ht="15.75" customHeight="1" x14ac:dyDescent="0.2">
      <c r="B16" s="10" t="s">
        <v>27</v>
      </c>
      <c r="C16" s="10"/>
      <c r="D16" s="10"/>
      <c r="E16" s="10"/>
      <c r="F16" s="10"/>
      <c r="G16" s="10"/>
      <c r="H16" s="10"/>
    </row>
    <row r="17" spans="1:9" ht="13.5" customHeight="1" x14ac:dyDescent="0.2">
      <c r="B17" s="17" t="s">
        <v>28</v>
      </c>
      <c r="C17" s="17" t="s">
        <v>29</v>
      </c>
      <c r="D17" s="17" t="s">
        <v>28</v>
      </c>
      <c r="E17" s="17" t="s">
        <v>29</v>
      </c>
    </row>
    <row r="18" spans="1:9" ht="15" customHeight="1" x14ac:dyDescent="0.2">
      <c r="B18" s="22" t="s">
        <v>30</v>
      </c>
      <c r="C18" s="23" t="s">
        <v>31</v>
      </c>
      <c r="D18" s="22" t="s">
        <v>32</v>
      </c>
      <c r="E18" s="23" t="s">
        <v>33</v>
      </c>
    </row>
    <row r="19" spans="1:9" ht="15" customHeight="1" x14ac:dyDescent="0.2">
      <c r="B19" s="24" t="s">
        <v>34</v>
      </c>
      <c r="C19" s="25" t="s">
        <v>33</v>
      </c>
      <c r="D19" s="24" t="s">
        <v>35</v>
      </c>
      <c r="E19" s="25" t="s">
        <v>36</v>
      </c>
    </row>
    <row r="20" spans="1:9" ht="15" customHeight="1" x14ac:dyDescent="0.2">
      <c r="B20" s="22" t="s">
        <v>37</v>
      </c>
      <c r="C20" s="23" t="s">
        <v>38</v>
      </c>
      <c r="D20" s="22" t="s">
        <v>39</v>
      </c>
      <c r="E20" s="23" t="s">
        <v>40</v>
      </c>
    </row>
    <row r="21" spans="1:9" ht="15" customHeight="1" x14ac:dyDescent="0.2">
      <c r="B21" s="24" t="s">
        <v>41</v>
      </c>
      <c r="C21" s="25" t="s">
        <v>42</v>
      </c>
      <c r="D21" s="24" t="s">
        <v>43</v>
      </c>
      <c r="E21" s="25" t="s">
        <v>44</v>
      </c>
    </row>
    <row r="22" spans="1:9" ht="15" customHeight="1" x14ac:dyDescent="0.2">
      <c r="B22" s="22" t="s">
        <v>45</v>
      </c>
      <c r="C22" s="23" t="s">
        <v>46</v>
      </c>
      <c r="D22" s="22" t="s">
        <v>47</v>
      </c>
      <c r="E22" s="23" t="s">
        <v>48</v>
      </c>
    </row>
    <row r="23" spans="1:9" ht="15" customHeight="1" x14ac:dyDescent="0.2">
      <c r="B23" s="24" t="s">
        <v>49</v>
      </c>
      <c r="C23" s="25" t="s">
        <v>50</v>
      </c>
      <c r="D23" s="24" t="s">
        <v>51</v>
      </c>
      <c r="E23" s="25" t="s">
        <v>52</v>
      </c>
    </row>
    <row r="24" spans="1:9" ht="15" customHeight="1" x14ac:dyDescent="0.2">
      <c r="B24" s="22" t="s">
        <v>53</v>
      </c>
      <c r="C24" s="23" t="s">
        <v>54</v>
      </c>
      <c r="D24" s="22" t="s">
        <v>55</v>
      </c>
      <c r="E24" s="23" t="s">
        <v>56</v>
      </c>
    </row>
    <row r="25" spans="1:9" ht="15" customHeight="1" x14ac:dyDescent="0.2">
      <c r="B25" s="24" t="s">
        <v>57</v>
      </c>
      <c r="C25" s="25" t="s">
        <v>58</v>
      </c>
      <c r="D25" s="24" t="s">
        <v>59</v>
      </c>
      <c r="E25" s="25" t="s">
        <v>60</v>
      </c>
    </row>
    <row r="26" spans="1:9" ht="15" customHeight="1" x14ac:dyDescent="0.2">
      <c r="B26" s="22" t="s">
        <v>61</v>
      </c>
      <c r="C26" s="23" t="s">
        <v>62</v>
      </c>
      <c r="D26" s="22" t="s">
        <v>63</v>
      </c>
      <c r="E26" s="23" t="s">
        <v>64</v>
      </c>
    </row>
    <row r="27" spans="1:9" ht="15" customHeight="1" x14ac:dyDescent="0.2">
      <c r="B27" s="24" t="s">
        <v>65</v>
      </c>
      <c r="C27" s="25" t="s">
        <v>66</v>
      </c>
      <c r="D27" s="24" t="s">
        <v>67</v>
      </c>
      <c r="E27" s="25" t="s">
        <v>68</v>
      </c>
    </row>
    <row r="28" spans="1:9" ht="15.75" customHeight="1" x14ac:dyDescent="0.2">
      <c r="B28" s="9" t="s">
        <v>69</v>
      </c>
      <c r="C28" s="9"/>
      <c r="D28" s="9"/>
      <c r="E28" s="9"/>
      <c r="F28" s="9"/>
      <c r="G28" s="9"/>
      <c r="H28" s="9"/>
    </row>
    <row r="29" spans="1:9" ht="150" customHeight="1" x14ac:dyDescent="0.2">
      <c r="B29" s="8" t="s">
        <v>70</v>
      </c>
      <c r="C29" s="8"/>
      <c r="D29" s="8"/>
      <c r="E29" s="8"/>
      <c r="F29" s="8"/>
      <c r="G29" s="8"/>
      <c r="H29" s="8"/>
    </row>
    <row r="30" spans="1:9" ht="13.5" customHeight="1" x14ac:dyDescent="0.2">
      <c r="B30" s="7" t="s">
        <v>71</v>
      </c>
      <c r="C30" s="7"/>
      <c r="D30" s="7"/>
      <c r="E30" s="7"/>
      <c r="F30" s="7"/>
      <c r="G30" s="7"/>
      <c r="H30" s="7"/>
    </row>
    <row r="31" spans="1:9" ht="12.75" customHeight="1" x14ac:dyDescent="0.2">
      <c r="A31" s="6" t="s">
        <v>72</v>
      </c>
      <c r="B31" s="6"/>
      <c r="C31" s="6"/>
      <c r="D31" s="6"/>
      <c r="E31" s="6"/>
      <c r="F31" s="6"/>
      <c r="G31" s="6"/>
      <c r="H31" s="6"/>
      <c r="I31" s="6"/>
    </row>
  </sheetData>
  <mergeCells count="15">
    <mergeCell ref="B16:H16"/>
    <mergeCell ref="B28:H28"/>
    <mergeCell ref="B29:H29"/>
    <mergeCell ref="B30:H30"/>
    <mergeCell ref="A31:I31"/>
    <mergeCell ref="C6:H6"/>
    <mergeCell ref="C7:H7"/>
    <mergeCell ref="C8:H8"/>
    <mergeCell ref="B9:H9"/>
    <mergeCell ref="B10:H10"/>
    <mergeCell ref="A1:I1"/>
    <mergeCell ref="B2:H2"/>
    <mergeCell ref="C3:H3"/>
    <mergeCell ref="C4:H4"/>
    <mergeCell ref="C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Normal="100" workbookViewId="0"/>
  </sheetViews>
  <sheetFormatPr defaultColWidth="8.7421875" defaultRowHeight="15" x14ac:dyDescent="0.2"/>
  <cols>
    <col min="1" max="1" width="2.015625" style="15" customWidth="1"/>
    <col min="2" max="2" width="41.96875" style="15" customWidth="1"/>
    <col min="3" max="3" width="4.03515625" style="15" customWidth="1"/>
    <col min="4" max="8" width="13.98828125" style="15" customWidth="1"/>
    <col min="9" max="9" width="4.03515625" style="15" customWidth="1"/>
  </cols>
  <sheetData>
    <row r="1" spans="1:9" ht="21.75" customHeight="1" x14ac:dyDescent="0.2">
      <c r="A1" s="14" t="s">
        <v>73</v>
      </c>
      <c r="B1" s="14"/>
      <c r="C1" s="14"/>
      <c r="D1" s="14"/>
      <c r="E1" s="14"/>
      <c r="F1" s="14"/>
      <c r="G1" s="14"/>
      <c r="H1" s="14"/>
      <c r="I1" s="14"/>
    </row>
    <row r="2" spans="1:9" ht="27.75" customHeight="1" x14ac:dyDescent="0.2">
      <c r="B2" s="5" t="s">
        <v>74</v>
      </c>
      <c r="C2" s="5"/>
      <c r="D2" s="5"/>
      <c r="E2" s="5"/>
      <c r="F2" s="5"/>
      <c r="G2" s="5"/>
      <c r="H2" s="5"/>
      <c r="I2" s="5"/>
    </row>
    <row r="3" spans="1:9" ht="15.75" customHeight="1" x14ac:dyDescent="0.2">
      <c r="B3" s="17" t="s">
        <v>75</v>
      </c>
      <c r="D3" s="17" t="s">
        <v>76</v>
      </c>
      <c r="E3" s="17" t="s">
        <v>77</v>
      </c>
      <c r="F3" s="17" t="s">
        <v>78</v>
      </c>
      <c r="G3" s="17" t="s">
        <v>79</v>
      </c>
      <c r="H3" s="17" t="s">
        <v>80</v>
      </c>
    </row>
    <row r="4" spans="1:9" ht="15" customHeight="1" x14ac:dyDescent="0.2">
      <c r="B4" s="24" t="s">
        <v>81</v>
      </c>
      <c r="D4" s="26">
        <v>7150</v>
      </c>
      <c r="E4" s="26">
        <v>8696</v>
      </c>
      <c r="F4" s="26">
        <v>10390</v>
      </c>
      <c r="G4" s="26">
        <v>11260</v>
      </c>
      <c r="H4" s="26">
        <v>12405</v>
      </c>
    </row>
    <row r="5" spans="1:9" ht="15" customHeight="1" x14ac:dyDescent="0.2">
      <c r="B5" s="27" t="s">
        <v>82</v>
      </c>
      <c r="D5" s="28" t="s">
        <v>83</v>
      </c>
      <c r="E5" s="29">
        <v>0.2162</v>
      </c>
      <c r="F5" s="29">
        <v>0.19489999999999999</v>
      </c>
      <c r="G5" s="29">
        <v>8.3799999999999999E-2</v>
      </c>
      <c r="H5" s="29">
        <v>0.1019</v>
      </c>
    </row>
    <row r="6" spans="1:9" ht="15" customHeight="1" x14ac:dyDescent="0.2">
      <c r="B6" s="30" t="s">
        <v>84</v>
      </c>
      <c r="D6" s="26">
        <v>-6033</v>
      </c>
      <c r="E6" s="26">
        <v>-7666</v>
      </c>
      <c r="F6" s="26">
        <v>-8939</v>
      </c>
      <c r="G6" s="26">
        <v>-9635</v>
      </c>
      <c r="H6" s="26">
        <v>-10771</v>
      </c>
    </row>
    <row r="7" spans="1:9" ht="15" customHeight="1" x14ac:dyDescent="0.2">
      <c r="B7" s="31" t="s">
        <v>85</v>
      </c>
      <c r="D7" s="32">
        <v>1117</v>
      </c>
      <c r="E7" s="32">
        <v>1030</v>
      </c>
      <c r="F7" s="32">
        <v>1450</v>
      </c>
      <c r="G7" s="32">
        <v>1625</v>
      </c>
      <c r="H7" s="32">
        <v>1634</v>
      </c>
    </row>
    <row r="8" spans="1:9" ht="15" customHeight="1" x14ac:dyDescent="0.2">
      <c r="B8" s="27" t="s">
        <v>86</v>
      </c>
      <c r="D8" s="29">
        <v>0.15620000000000001</v>
      </c>
      <c r="E8" s="29">
        <v>0.11840000000000001</v>
      </c>
      <c r="F8" s="29">
        <v>0.13950000000000001</v>
      </c>
      <c r="G8" s="29">
        <v>0.14430000000000001</v>
      </c>
      <c r="H8" s="29">
        <v>0.1318</v>
      </c>
    </row>
    <row r="9" spans="1:9" ht="15" customHeight="1" x14ac:dyDescent="0.2">
      <c r="B9" s="30" t="s">
        <v>87</v>
      </c>
      <c r="D9" s="26">
        <v>86</v>
      </c>
      <c r="E9" s="26">
        <v>71</v>
      </c>
      <c r="F9" s="26">
        <v>27</v>
      </c>
      <c r="G9" s="26">
        <v>98</v>
      </c>
      <c r="H9" s="26">
        <v>199</v>
      </c>
    </row>
    <row r="10" spans="1:9" ht="15" customHeight="1" x14ac:dyDescent="0.2">
      <c r="B10" s="27" t="s">
        <v>88</v>
      </c>
      <c r="D10" s="29">
        <v>7.6999999999999999E-2</v>
      </c>
      <c r="E10" s="29">
        <v>6.9000000000000006E-2</v>
      </c>
      <c r="F10" s="29">
        <v>1.9E-2</v>
      </c>
      <c r="G10" s="29">
        <v>0.06</v>
      </c>
      <c r="H10" s="29">
        <v>0.122</v>
      </c>
    </row>
    <row r="11" spans="1:9" ht="15" customHeight="1" x14ac:dyDescent="0.2">
      <c r="B11" s="30" t="s">
        <v>89</v>
      </c>
      <c r="D11" s="26">
        <v>-319</v>
      </c>
      <c r="E11" s="26">
        <v>-396</v>
      </c>
      <c r="F11" s="26">
        <v>-450</v>
      </c>
      <c r="G11" s="26">
        <v>-479</v>
      </c>
      <c r="H11" s="26">
        <v>-492</v>
      </c>
    </row>
    <row r="12" spans="1:9" ht="15" customHeight="1" x14ac:dyDescent="0.2">
      <c r="B12" s="30" t="s">
        <v>90</v>
      </c>
      <c r="D12" s="26">
        <v>-11</v>
      </c>
      <c r="E12" s="26">
        <v>-15</v>
      </c>
      <c r="F12" s="26">
        <v>-30</v>
      </c>
      <c r="G12" s="26">
        <v>-33</v>
      </c>
      <c r="H12" s="26">
        <v>-42</v>
      </c>
    </row>
    <row r="13" spans="1:9" ht="15" customHeight="1" x14ac:dyDescent="0.2">
      <c r="B13" s="31" t="s">
        <v>91</v>
      </c>
      <c r="D13" s="32">
        <v>873</v>
      </c>
      <c r="E13" s="32">
        <v>690</v>
      </c>
      <c r="F13" s="32">
        <v>997</v>
      </c>
      <c r="G13" s="32">
        <v>1211</v>
      </c>
      <c r="H13" s="32">
        <v>1299</v>
      </c>
    </row>
    <row r="14" spans="1:9" ht="15" customHeight="1" x14ac:dyDescent="0.2">
      <c r="B14" s="30" t="s">
        <v>92</v>
      </c>
      <c r="D14" s="26">
        <v>-226</v>
      </c>
      <c r="E14" s="26">
        <v>-179</v>
      </c>
      <c r="F14" s="26">
        <v>-266</v>
      </c>
      <c r="G14" s="26">
        <v>-303</v>
      </c>
      <c r="H14" s="26">
        <v>-336</v>
      </c>
    </row>
    <row r="15" spans="1:9" ht="15" customHeight="1" x14ac:dyDescent="0.2">
      <c r="B15" s="33" t="s">
        <v>93</v>
      </c>
      <c r="D15" s="34">
        <v>647</v>
      </c>
      <c r="E15" s="34">
        <v>511</v>
      </c>
      <c r="F15" s="34">
        <v>731</v>
      </c>
      <c r="G15" s="34">
        <v>906</v>
      </c>
      <c r="H15" s="34">
        <v>964</v>
      </c>
    </row>
    <row r="16" spans="1:9" ht="15" customHeight="1" x14ac:dyDescent="0.2">
      <c r="B16" s="27" t="s">
        <v>94</v>
      </c>
      <c r="D16" s="29">
        <v>9.0499999999999997E-2</v>
      </c>
      <c r="E16" s="29">
        <v>5.8799999999999998E-2</v>
      </c>
      <c r="F16" s="29">
        <v>7.0300000000000001E-2</v>
      </c>
      <c r="G16" s="29">
        <v>8.0399999999999999E-2</v>
      </c>
      <c r="H16" s="29">
        <v>7.7700000000000005E-2</v>
      </c>
    </row>
    <row r="17" spans="1:9" ht="15" customHeight="1" x14ac:dyDescent="0.2">
      <c r="B17" s="24" t="s">
        <v>95</v>
      </c>
      <c r="D17" s="35">
        <v>37.869999999999997</v>
      </c>
      <c r="E17" s="35">
        <v>29.93</v>
      </c>
      <c r="F17" s="35">
        <v>42.78</v>
      </c>
      <c r="G17" s="35">
        <v>49.49</v>
      </c>
      <c r="H17" s="35">
        <v>52.66</v>
      </c>
    </row>
    <row r="18" spans="1:9" ht="15" customHeight="1" x14ac:dyDescent="0.2">
      <c r="B18" s="36" t="s">
        <v>96</v>
      </c>
      <c r="D18" s="37" t="s">
        <v>83</v>
      </c>
      <c r="E18" s="37" t="s">
        <v>83</v>
      </c>
      <c r="F18" s="37" t="s">
        <v>83</v>
      </c>
      <c r="G18" s="38">
        <v>900</v>
      </c>
      <c r="H18" s="38">
        <v>1050</v>
      </c>
    </row>
    <row r="19" spans="1:9" ht="54.75" customHeight="1" x14ac:dyDescent="0.2">
      <c r="B19" s="4" t="s">
        <v>97</v>
      </c>
      <c r="C19" s="4"/>
      <c r="D19" s="4"/>
      <c r="E19" s="4"/>
      <c r="F19" s="4"/>
      <c r="G19" s="4"/>
      <c r="H19" s="4"/>
    </row>
    <row r="20" spans="1:9" ht="15" customHeight="1" x14ac:dyDescent="0.2">
      <c r="A20" s="6" t="s">
        <v>72</v>
      </c>
      <c r="B20" s="6"/>
      <c r="C20" s="6"/>
      <c r="D20" s="6"/>
      <c r="E20" s="6"/>
      <c r="F20" s="6"/>
      <c r="G20" s="6"/>
      <c r="H20" s="6"/>
      <c r="I20" s="6"/>
    </row>
  </sheetData>
  <mergeCells count="4">
    <mergeCell ref="A1:I1"/>
    <mergeCell ref="B2:I2"/>
    <mergeCell ref="B19:H19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zoomScaleNormal="100" workbookViewId="0"/>
  </sheetViews>
  <sheetFormatPr defaultColWidth="8.7421875" defaultRowHeight="15" x14ac:dyDescent="0.2"/>
  <cols>
    <col min="1" max="1" width="2.015625" style="15" customWidth="1"/>
    <col min="2" max="2" width="41.96875" style="15" customWidth="1"/>
    <col min="3" max="3" width="4.03515625" style="15" customWidth="1"/>
    <col min="4" max="8" width="13.98828125" style="15" customWidth="1"/>
    <col min="9" max="9" width="4.03515625" style="15" customWidth="1"/>
  </cols>
  <sheetData>
    <row r="1" spans="1:9" ht="21.75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</row>
    <row r="2" spans="1:9" ht="27.75" customHeight="1" x14ac:dyDescent="0.2">
      <c r="B2" s="5" t="s">
        <v>99</v>
      </c>
      <c r="C2" s="5"/>
      <c r="D2" s="5"/>
      <c r="E2" s="5"/>
      <c r="F2" s="5"/>
      <c r="G2" s="5"/>
      <c r="H2" s="5"/>
      <c r="I2" s="5"/>
    </row>
    <row r="3" spans="1:9" ht="15.75" customHeight="1" x14ac:dyDescent="0.2">
      <c r="B3" s="17" t="s">
        <v>75</v>
      </c>
      <c r="D3" s="17" t="s">
        <v>76</v>
      </c>
      <c r="E3" s="17" t="s">
        <v>77</v>
      </c>
      <c r="F3" s="17" t="s">
        <v>78</v>
      </c>
      <c r="G3" s="17" t="s">
        <v>79</v>
      </c>
      <c r="H3" s="17" t="s">
        <v>80</v>
      </c>
    </row>
    <row r="4" spans="1:9" ht="15" customHeight="1" x14ac:dyDescent="0.2">
      <c r="B4" s="3" t="s">
        <v>100</v>
      </c>
      <c r="C4" s="3"/>
      <c r="D4" s="3"/>
      <c r="E4" s="3"/>
      <c r="F4" s="3"/>
      <c r="G4" s="3"/>
      <c r="H4" s="3"/>
    </row>
    <row r="5" spans="1:9" ht="15" customHeight="1" x14ac:dyDescent="0.2">
      <c r="B5" s="24" t="s">
        <v>101</v>
      </c>
      <c r="D5" s="39"/>
      <c r="E5" s="39"/>
      <c r="F5" s="39"/>
      <c r="G5" s="39"/>
      <c r="H5" s="26">
        <v>1998</v>
      </c>
    </row>
    <row r="6" spans="1:9" ht="15" customHeight="1" x14ac:dyDescent="0.2">
      <c r="B6" s="30" t="s">
        <v>102</v>
      </c>
      <c r="D6" s="26">
        <v>2662</v>
      </c>
      <c r="E6" s="26">
        <v>2976</v>
      </c>
      <c r="F6" s="26">
        <v>3529</v>
      </c>
      <c r="G6" s="26">
        <v>3483</v>
      </c>
      <c r="H6" s="26">
        <v>3676</v>
      </c>
    </row>
    <row r="7" spans="1:9" ht="15" customHeight="1" x14ac:dyDescent="0.2">
      <c r="B7" s="31" t="s">
        <v>103</v>
      </c>
      <c r="D7" s="32">
        <v>5797</v>
      </c>
      <c r="E7" s="32">
        <v>6376</v>
      </c>
      <c r="F7" s="32">
        <v>7937</v>
      </c>
      <c r="G7" s="32">
        <v>8834</v>
      </c>
      <c r="H7" s="32">
        <v>9993</v>
      </c>
    </row>
    <row r="8" spans="1:9" ht="15" customHeight="1" x14ac:dyDescent="0.2">
      <c r="B8" s="30" t="s">
        <v>104</v>
      </c>
      <c r="D8" s="26">
        <v>2854</v>
      </c>
      <c r="E8" s="26">
        <v>3322</v>
      </c>
      <c r="F8" s="26">
        <v>3922</v>
      </c>
      <c r="G8" s="26">
        <v>3872</v>
      </c>
      <c r="H8" s="26">
        <v>4319</v>
      </c>
    </row>
    <row r="9" spans="1:9" ht="15" customHeight="1" x14ac:dyDescent="0.2">
      <c r="B9" s="30" t="s">
        <v>105</v>
      </c>
      <c r="D9" s="26">
        <v>281</v>
      </c>
      <c r="E9" s="26">
        <v>78</v>
      </c>
      <c r="F9" s="26">
        <v>486</v>
      </c>
      <c r="G9" s="26">
        <v>1479</v>
      </c>
      <c r="H9" s="26">
        <v>1998</v>
      </c>
    </row>
    <row r="10" spans="1:9" ht="15" customHeight="1" x14ac:dyDescent="0.2">
      <c r="B10" s="30" t="s">
        <v>106</v>
      </c>
      <c r="D10" s="39"/>
      <c r="E10" s="39"/>
      <c r="F10" s="39"/>
      <c r="G10" s="39"/>
      <c r="H10" s="39"/>
    </row>
    <row r="11" spans="1:9" ht="15" customHeight="1" x14ac:dyDescent="0.2">
      <c r="B11" s="31" t="s">
        <v>107</v>
      </c>
      <c r="D11" s="32">
        <v>5797</v>
      </c>
      <c r="E11" s="32">
        <v>6376</v>
      </c>
      <c r="F11" s="32">
        <v>7937</v>
      </c>
      <c r="G11" s="32">
        <v>8834</v>
      </c>
      <c r="H11" s="32">
        <v>9993</v>
      </c>
    </row>
    <row r="12" spans="1:9" ht="15" customHeight="1" x14ac:dyDescent="0.2">
      <c r="B12" s="3" t="s">
        <v>108</v>
      </c>
      <c r="C12" s="3"/>
      <c r="D12" s="3"/>
      <c r="E12" s="3"/>
      <c r="F12" s="3"/>
      <c r="G12" s="3"/>
      <c r="H12" s="3"/>
    </row>
    <row r="13" spans="1:9" ht="15" customHeight="1" x14ac:dyDescent="0.2">
      <c r="B13" s="18" t="s">
        <v>109</v>
      </c>
      <c r="D13" s="34">
        <v>92</v>
      </c>
      <c r="E13" s="34">
        <v>126</v>
      </c>
      <c r="F13" s="34">
        <v>201</v>
      </c>
      <c r="G13" s="34">
        <v>153</v>
      </c>
      <c r="H13" s="34">
        <v>258</v>
      </c>
    </row>
    <row r="14" spans="1:9" ht="15" customHeight="1" x14ac:dyDescent="0.2">
      <c r="B14" s="30" t="s">
        <v>110</v>
      </c>
      <c r="D14" s="26">
        <v>1494</v>
      </c>
      <c r="E14" s="26">
        <v>1699</v>
      </c>
      <c r="F14" s="26">
        <v>1730</v>
      </c>
      <c r="G14" s="26">
        <v>1913</v>
      </c>
      <c r="H14" s="26">
        <v>2356</v>
      </c>
    </row>
    <row r="15" spans="1:9" ht="15" customHeight="1" x14ac:dyDescent="0.2">
      <c r="B15" s="31" t="s">
        <v>111</v>
      </c>
      <c r="D15" s="32">
        <v>1586</v>
      </c>
      <c r="E15" s="32">
        <v>1825</v>
      </c>
      <c r="F15" s="32">
        <v>1931</v>
      </c>
      <c r="G15" s="32">
        <v>2066</v>
      </c>
      <c r="H15" s="32">
        <v>2614</v>
      </c>
    </row>
    <row r="16" spans="1:9" ht="15" customHeight="1" x14ac:dyDescent="0.2">
      <c r="B16" s="3" t="s">
        <v>112</v>
      </c>
      <c r="C16" s="3"/>
      <c r="D16" s="3"/>
      <c r="E16" s="3"/>
      <c r="F16" s="3"/>
      <c r="G16" s="3"/>
      <c r="H16" s="3"/>
    </row>
    <row r="17" spans="1:9" ht="15" customHeight="1" x14ac:dyDescent="0.2">
      <c r="B17" s="30" t="s">
        <v>113</v>
      </c>
      <c r="D17" s="26">
        <v>17</v>
      </c>
      <c r="E17" s="26">
        <v>17</v>
      </c>
      <c r="F17" s="26">
        <v>17</v>
      </c>
      <c r="G17" s="26">
        <v>18</v>
      </c>
      <c r="H17" s="26">
        <v>18</v>
      </c>
    </row>
    <row r="18" spans="1:9" ht="15" customHeight="1" x14ac:dyDescent="0.2">
      <c r="B18" s="30" t="s">
        <v>114</v>
      </c>
      <c r="D18" s="26">
        <v>4193</v>
      </c>
      <c r="E18" s="26">
        <v>4534</v>
      </c>
      <c r="F18" s="26">
        <v>5989</v>
      </c>
      <c r="G18" s="26">
        <v>6750</v>
      </c>
      <c r="H18" s="26">
        <v>7360</v>
      </c>
    </row>
    <row r="19" spans="1:9" ht="15" customHeight="1" x14ac:dyDescent="0.2">
      <c r="B19" s="33" t="s">
        <v>115</v>
      </c>
      <c r="D19" s="34">
        <v>4210</v>
      </c>
      <c r="E19" s="34">
        <v>4551</v>
      </c>
      <c r="F19" s="34">
        <v>6006</v>
      </c>
      <c r="G19" s="34">
        <v>6768</v>
      </c>
      <c r="H19" s="34">
        <v>7378</v>
      </c>
    </row>
    <row r="20" spans="1:9" ht="15" customHeight="1" x14ac:dyDescent="0.2">
      <c r="B20" s="3" t="s">
        <v>116</v>
      </c>
      <c r="C20" s="3"/>
      <c r="D20" s="3"/>
      <c r="E20" s="3"/>
      <c r="F20" s="3"/>
      <c r="G20" s="3"/>
      <c r="H20" s="3"/>
    </row>
    <row r="21" spans="1:9" ht="15" customHeight="1" x14ac:dyDescent="0.2">
      <c r="B21" s="18" t="s">
        <v>117</v>
      </c>
      <c r="D21" s="34">
        <v>189</v>
      </c>
      <c r="E21" s="40"/>
      <c r="F21" s="34">
        <v>285</v>
      </c>
      <c r="G21" s="34">
        <v>1326</v>
      </c>
      <c r="H21" s="34">
        <v>1740</v>
      </c>
    </row>
    <row r="22" spans="1:9" ht="15" customHeight="1" x14ac:dyDescent="0.2">
      <c r="B22" s="30" t="s">
        <v>118</v>
      </c>
      <c r="D22" s="41">
        <v>2.1999999999999999E-2</v>
      </c>
      <c r="E22" s="41">
        <v>2.8000000000000001E-2</v>
      </c>
      <c r="F22" s="41">
        <v>3.3000000000000002E-2</v>
      </c>
      <c r="G22" s="41">
        <v>2.3E-2</v>
      </c>
      <c r="H22" s="41">
        <v>3.5000000000000003E-2</v>
      </c>
    </row>
    <row r="23" spans="1:9" ht="15" customHeight="1" x14ac:dyDescent="0.2">
      <c r="B23" s="30" t="s">
        <v>119</v>
      </c>
      <c r="D23" s="39"/>
      <c r="E23" s="39"/>
      <c r="F23" s="39"/>
      <c r="G23" s="39"/>
      <c r="H23" s="39"/>
    </row>
    <row r="24" spans="1:9" ht="15" customHeight="1" x14ac:dyDescent="0.2">
      <c r="B24" s="30" t="s">
        <v>120</v>
      </c>
      <c r="D24" s="26">
        <v>246</v>
      </c>
      <c r="E24" s="26">
        <v>266</v>
      </c>
      <c r="F24" s="26">
        <v>351</v>
      </c>
      <c r="G24" s="26">
        <v>370</v>
      </c>
      <c r="H24" s="26">
        <v>425</v>
      </c>
    </row>
    <row r="25" spans="1:9" ht="15" customHeight="1" x14ac:dyDescent="0.2">
      <c r="B25" s="30" t="s">
        <v>121</v>
      </c>
      <c r="D25" s="39"/>
      <c r="E25" s="39"/>
      <c r="F25" s="39"/>
      <c r="G25" s="26">
        <v>2.2000000000000002</v>
      </c>
      <c r="H25" s="26">
        <v>1.9</v>
      </c>
    </row>
    <row r="26" spans="1:9" ht="15" customHeight="1" x14ac:dyDescent="0.2">
      <c r="B26" s="30" t="s">
        <v>122</v>
      </c>
      <c r="D26" s="42">
        <v>0.154</v>
      </c>
      <c r="E26" s="42">
        <v>0.112</v>
      </c>
      <c r="F26" s="42">
        <v>0.122</v>
      </c>
      <c r="G26" s="42">
        <v>0.13400000000000001</v>
      </c>
      <c r="H26" s="42">
        <v>0.123</v>
      </c>
    </row>
    <row r="27" spans="1:9" ht="15" customHeight="1" x14ac:dyDescent="0.2">
      <c r="B27" s="30" t="s">
        <v>123</v>
      </c>
      <c r="D27" s="42">
        <v>0.22</v>
      </c>
      <c r="E27" s="42">
        <v>0.16</v>
      </c>
      <c r="F27" s="42">
        <v>0.2</v>
      </c>
      <c r="G27" s="42">
        <v>0.19</v>
      </c>
      <c r="H27" s="42">
        <v>0.17</v>
      </c>
    </row>
    <row r="28" spans="1:9" ht="15" customHeight="1" x14ac:dyDescent="0.2">
      <c r="A28" s="6" t="s">
        <v>72</v>
      </c>
      <c r="B28" s="6"/>
      <c r="C28" s="6"/>
      <c r="D28" s="6"/>
      <c r="E28" s="6"/>
      <c r="F28" s="6"/>
      <c r="G28" s="6"/>
      <c r="H28" s="6"/>
      <c r="I28" s="6"/>
    </row>
  </sheetData>
  <mergeCells count="7">
    <mergeCell ref="B20:H20"/>
    <mergeCell ref="A28:I28"/>
    <mergeCell ref="A1:I1"/>
    <mergeCell ref="B2:I2"/>
    <mergeCell ref="B4:H4"/>
    <mergeCell ref="B12:H12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zoomScaleNormal="100" workbookViewId="0"/>
  </sheetViews>
  <sheetFormatPr defaultColWidth="8.7421875" defaultRowHeight="15" x14ac:dyDescent="0.2"/>
  <cols>
    <col min="1" max="1" width="2.015625" style="15" customWidth="1"/>
    <col min="2" max="2" width="41.96875" style="15" customWidth="1"/>
    <col min="3" max="3" width="4.03515625" style="15" customWidth="1"/>
    <col min="4" max="8" width="13.98828125" style="15" customWidth="1"/>
    <col min="9" max="9" width="4.03515625" style="15" customWidth="1"/>
  </cols>
  <sheetData>
    <row r="1" spans="1:9" ht="21.75" customHeight="1" x14ac:dyDescent="0.2">
      <c r="A1" s="14" t="s">
        <v>124</v>
      </c>
      <c r="B1" s="14"/>
      <c r="C1" s="14"/>
      <c r="D1" s="14"/>
      <c r="E1" s="14"/>
      <c r="F1" s="14"/>
      <c r="G1" s="14"/>
      <c r="H1" s="14"/>
      <c r="I1" s="14"/>
    </row>
    <row r="2" spans="1:9" ht="27.75" customHeight="1" x14ac:dyDescent="0.2">
      <c r="B2" s="5" t="s">
        <v>125</v>
      </c>
      <c r="C2" s="5"/>
      <c r="D2" s="5"/>
      <c r="E2" s="5"/>
      <c r="F2" s="5"/>
      <c r="G2" s="5"/>
      <c r="H2" s="5"/>
      <c r="I2" s="5"/>
    </row>
    <row r="3" spans="1:9" ht="15.75" customHeight="1" x14ac:dyDescent="0.2">
      <c r="B3" s="17" t="s">
        <v>75</v>
      </c>
      <c r="D3" s="17" t="s">
        <v>76</v>
      </c>
      <c r="E3" s="17" t="s">
        <v>77</v>
      </c>
      <c r="F3" s="17" t="s">
        <v>78</v>
      </c>
      <c r="G3" s="17" t="s">
        <v>79</v>
      </c>
      <c r="H3" s="17" t="s">
        <v>80</v>
      </c>
    </row>
    <row r="4" spans="1:9" ht="15" customHeight="1" x14ac:dyDescent="0.2">
      <c r="B4" s="24" t="s">
        <v>126</v>
      </c>
      <c r="D4" s="26">
        <v>802</v>
      </c>
      <c r="E4" s="26">
        <v>633</v>
      </c>
      <c r="F4" s="26">
        <v>956</v>
      </c>
      <c r="G4" s="26">
        <v>1314</v>
      </c>
      <c r="H4" s="26">
        <v>1375</v>
      </c>
    </row>
    <row r="5" spans="1:9" ht="15" customHeight="1" x14ac:dyDescent="0.2">
      <c r="B5" s="27" t="s">
        <v>127</v>
      </c>
      <c r="D5" s="43">
        <v>1.24</v>
      </c>
      <c r="E5" s="43">
        <v>1.24</v>
      </c>
      <c r="F5" s="43">
        <v>1.31</v>
      </c>
      <c r="G5" s="43">
        <v>1.45</v>
      </c>
      <c r="H5" s="43">
        <v>1.43</v>
      </c>
    </row>
    <row r="6" spans="1:9" ht="15" customHeight="1" x14ac:dyDescent="0.2">
      <c r="B6" s="30" t="s">
        <v>128</v>
      </c>
      <c r="D6" s="26">
        <v>-616</v>
      </c>
      <c r="E6" s="26">
        <v>-482</v>
      </c>
      <c r="F6" s="26">
        <v>-789</v>
      </c>
      <c r="G6" s="26">
        <v>-1072</v>
      </c>
      <c r="H6" s="26">
        <v>-1155</v>
      </c>
    </row>
    <row r="7" spans="1:9" ht="15" customHeight="1" x14ac:dyDescent="0.2">
      <c r="B7" s="30" t="s">
        <v>129</v>
      </c>
      <c r="D7" s="26">
        <v>-200</v>
      </c>
      <c r="E7" s="26">
        <v>-300</v>
      </c>
      <c r="F7" s="26">
        <v>-500</v>
      </c>
      <c r="G7" s="26">
        <v>-700</v>
      </c>
      <c r="H7" s="26">
        <v>-800</v>
      </c>
    </row>
    <row r="8" spans="1:9" ht="15" customHeight="1" x14ac:dyDescent="0.2">
      <c r="B8" s="33" t="s">
        <v>130</v>
      </c>
      <c r="D8" s="34">
        <v>602</v>
      </c>
      <c r="E8" s="34">
        <v>333</v>
      </c>
      <c r="F8" s="34">
        <v>456</v>
      </c>
      <c r="G8" s="34">
        <v>614</v>
      </c>
      <c r="H8" s="34">
        <v>575</v>
      </c>
    </row>
    <row r="9" spans="1:9" ht="15" customHeight="1" x14ac:dyDescent="0.2">
      <c r="B9" s="36" t="s">
        <v>131</v>
      </c>
      <c r="D9" s="37" t="s">
        <v>83</v>
      </c>
      <c r="E9" s="37" t="s">
        <v>83</v>
      </c>
      <c r="F9" s="38">
        <v>500</v>
      </c>
      <c r="G9" s="38">
        <v>700</v>
      </c>
      <c r="H9" s="38">
        <v>800</v>
      </c>
    </row>
    <row r="10" spans="1:9" ht="15" customHeight="1" x14ac:dyDescent="0.2">
      <c r="B10" s="30" t="s">
        <v>132</v>
      </c>
      <c r="D10" s="39" t="s">
        <v>83</v>
      </c>
      <c r="E10" s="39" t="s">
        <v>83</v>
      </c>
      <c r="F10" s="39" t="s">
        <v>83</v>
      </c>
      <c r="G10" s="39" t="s">
        <v>83</v>
      </c>
      <c r="H10" s="26">
        <v>10092</v>
      </c>
    </row>
    <row r="11" spans="1:9" ht="15" customHeight="1" x14ac:dyDescent="0.2">
      <c r="B11" s="30" t="s">
        <v>133</v>
      </c>
      <c r="D11" s="39" t="s">
        <v>83</v>
      </c>
      <c r="E11" s="39" t="s">
        <v>83</v>
      </c>
      <c r="F11" s="39" t="s">
        <v>83</v>
      </c>
      <c r="G11" s="39" t="s">
        <v>83</v>
      </c>
      <c r="H11" s="26">
        <v>648</v>
      </c>
    </row>
    <row r="12" spans="1:9" ht="15" customHeight="1" x14ac:dyDescent="0.2">
      <c r="B12" s="36" t="s">
        <v>134</v>
      </c>
      <c r="D12" s="37" t="s">
        <v>83</v>
      </c>
      <c r="E12" s="37" t="s">
        <v>83</v>
      </c>
      <c r="F12" s="37" t="s">
        <v>83</v>
      </c>
      <c r="G12" s="37" t="s">
        <v>83</v>
      </c>
      <c r="H12" s="38">
        <v>800</v>
      </c>
    </row>
    <row r="13" spans="1:9" ht="15" customHeight="1" x14ac:dyDescent="0.2">
      <c r="B13" s="36" t="s">
        <v>135</v>
      </c>
      <c r="D13" s="37" t="s">
        <v>83</v>
      </c>
      <c r="E13" s="37" t="s">
        <v>83</v>
      </c>
      <c r="F13" s="37" t="s">
        <v>83</v>
      </c>
      <c r="G13" s="37" t="s">
        <v>83</v>
      </c>
      <c r="H13" s="44">
        <v>22.4</v>
      </c>
    </row>
    <row r="14" spans="1:9" ht="54.75" customHeight="1" x14ac:dyDescent="0.2">
      <c r="B14" s="4" t="s">
        <v>136</v>
      </c>
      <c r="C14" s="4"/>
      <c r="D14" s="4"/>
      <c r="E14" s="4"/>
      <c r="F14" s="4"/>
      <c r="G14" s="4"/>
      <c r="H14" s="4"/>
    </row>
    <row r="15" spans="1:9" ht="15" customHeight="1" x14ac:dyDescent="0.2">
      <c r="A15" s="6" t="s">
        <v>72</v>
      </c>
      <c r="B15" s="6"/>
      <c r="C15" s="6"/>
      <c r="D15" s="6"/>
      <c r="E15" s="6"/>
      <c r="F15" s="6"/>
      <c r="G15" s="6"/>
      <c r="H15" s="6"/>
      <c r="I15" s="6"/>
    </row>
  </sheetData>
  <mergeCells count="4">
    <mergeCell ref="A1:I1"/>
    <mergeCell ref="B2:I2"/>
    <mergeCell ref="B14:H14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zoomScaleNormal="100" workbookViewId="0"/>
  </sheetViews>
  <sheetFormatPr defaultColWidth="8.7421875" defaultRowHeight="15" x14ac:dyDescent="0.2"/>
  <cols>
    <col min="1" max="1" width="2.015625" style="15" customWidth="1"/>
    <col min="2" max="2" width="37.93359375" style="15" customWidth="1"/>
    <col min="3" max="3" width="18.0234375" style="15" customWidth="1"/>
    <col min="4" max="4" width="32.015625" style="15" customWidth="1"/>
    <col min="5" max="5" width="22.05859375" style="15" customWidth="1"/>
    <col min="6" max="9" width="2.015625" style="15" customWidth="1"/>
  </cols>
  <sheetData>
    <row r="1" spans="1:9" ht="21.75" customHeight="1" x14ac:dyDescent="0.2">
      <c r="A1" s="14" t="s">
        <v>137</v>
      </c>
      <c r="B1" s="14"/>
      <c r="C1" s="14"/>
      <c r="D1" s="14"/>
      <c r="E1" s="14"/>
      <c r="F1" s="14"/>
      <c r="G1" s="14"/>
      <c r="H1" s="14"/>
      <c r="I1" s="14"/>
    </row>
    <row r="2" spans="1:9" ht="27.75" customHeight="1" x14ac:dyDescent="0.2">
      <c r="B2" s="5" t="s">
        <v>138</v>
      </c>
      <c r="C2" s="5"/>
      <c r="D2" s="5"/>
      <c r="E2" s="5"/>
      <c r="F2" s="5"/>
      <c r="G2" s="5"/>
      <c r="H2" s="5"/>
      <c r="I2" s="5"/>
    </row>
    <row r="3" spans="1:9" ht="15.75" customHeight="1" x14ac:dyDescent="0.2">
      <c r="B3" s="17" t="s">
        <v>139</v>
      </c>
      <c r="C3" s="17" t="s">
        <v>29</v>
      </c>
      <c r="D3" s="17" t="s">
        <v>140</v>
      </c>
      <c r="E3" s="17" t="s">
        <v>141</v>
      </c>
    </row>
    <row r="4" spans="1:9" ht="15" customHeight="1" x14ac:dyDescent="0.2">
      <c r="B4" s="3" t="s">
        <v>142</v>
      </c>
      <c r="C4" s="3"/>
      <c r="D4" s="3"/>
      <c r="E4" s="3"/>
    </row>
    <row r="5" spans="1:9" ht="15" customHeight="1" x14ac:dyDescent="0.2">
      <c r="B5" s="24" t="s">
        <v>143</v>
      </c>
      <c r="C5" s="45">
        <v>7.1999999999999995E-2</v>
      </c>
      <c r="D5" s="46" t="s">
        <v>144</v>
      </c>
      <c r="E5" s="30" t="s">
        <v>145</v>
      </c>
    </row>
    <row r="6" spans="1:9" ht="15" customHeight="1" x14ac:dyDescent="0.2">
      <c r="B6" s="24" t="s">
        <v>146</v>
      </c>
      <c r="C6" s="45">
        <v>6.5000000000000002E-2</v>
      </c>
      <c r="D6" s="46" t="s">
        <v>147</v>
      </c>
      <c r="E6" s="30" t="s">
        <v>148</v>
      </c>
    </row>
    <row r="7" spans="1:9" ht="15" customHeight="1" x14ac:dyDescent="0.2">
      <c r="B7" s="24" t="s">
        <v>149</v>
      </c>
      <c r="C7" s="26">
        <v>0.85</v>
      </c>
      <c r="D7" s="46" t="s">
        <v>150</v>
      </c>
      <c r="E7" s="30" t="s">
        <v>151</v>
      </c>
    </row>
    <row r="8" spans="1:9" ht="15" customHeight="1" x14ac:dyDescent="0.2">
      <c r="B8" s="22" t="s">
        <v>152</v>
      </c>
      <c r="C8" s="47">
        <v>0.1273</v>
      </c>
      <c r="D8" s="48" t="s">
        <v>153</v>
      </c>
      <c r="E8" s="27" t="s">
        <v>154</v>
      </c>
    </row>
    <row r="9" spans="1:9" ht="15" customHeight="1" x14ac:dyDescent="0.2">
      <c r="B9" s="3" t="s">
        <v>155</v>
      </c>
      <c r="C9" s="3"/>
      <c r="D9" s="3"/>
      <c r="E9" s="3"/>
    </row>
    <row r="10" spans="1:9" ht="15" customHeight="1" x14ac:dyDescent="0.2">
      <c r="B10" s="24" t="s">
        <v>156</v>
      </c>
      <c r="C10" s="49">
        <v>258</v>
      </c>
      <c r="D10" s="46" t="s">
        <v>157</v>
      </c>
      <c r="E10" s="30" t="s">
        <v>158</v>
      </c>
    </row>
    <row r="11" spans="1:9" ht="15" customHeight="1" x14ac:dyDescent="0.2">
      <c r="B11" s="24" t="s">
        <v>159</v>
      </c>
      <c r="C11" s="49">
        <v>1998</v>
      </c>
      <c r="D11" s="46" t="s">
        <v>160</v>
      </c>
      <c r="E11" s="30" t="s">
        <v>161</v>
      </c>
    </row>
    <row r="12" spans="1:9" ht="15" customHeight="1" x14ac:dyDescent="0.2">
      <c r="B12" s="24" t="s">
        <v>162</v>
      </c>
      <c r="C12" s="45">
        <v>7.4999999999999997E-2</v>
      </c>
      <c r="D12" s="46" t="s">
        <v>163</v>
      </c>
      <c r="E12" s="30" t="s">
        <v>164</v>
      </c>
    </row>
    <row r="13" spans="1:9" ht="15" customHeight="1" x14ac:dyDescent="0.2">
      <c r="B13" s="24" t="s">
        <v>165</v>
      </c>
      <c r="C13" s="45">
        <v>5.7000000000000002E-2</v>
      </c>
      <c r="D13" s="46" t="s">
        <v>166</v>
      </c>
      <c r="E13" s="30"/>
    </row>
    <row r="14" spans="1:9" ht="15" customHeight="1" x14ac:dyDescent="0.2">
      <c r="B14" s="3" t="s">
        <v>167</v>
      </c>
      <c r="C14" s="3"/>
      <c r="D14" s="3"/>
      <c r="E14" s="3"/>
    </row>
    <row r="15" spans="1:9" ht="15" customHeight="1" x14ac:dyDescent="0.2">
      <c r="B15" s="24" t="s">
        <v>168</v>
      </c>
      <c r="C15" s="49">
        <v>14784</v>
      </c>
      <c r="D15" s="46" t="s">
        <v>169</v>
      </c>
      <c r="E15" s="30" t="s">
        <v>170</v>
      </c>
    </row>
    <row r="16" spans="1:9" ht="15" customHeight="1" x14ac:dyDescent="0.2">
      <c r="B16" s="24" t="s">
        <v>171</v>
      </c>
      <c r="C16" s="49">
        <v>258</v>
      </c>
      <c r="D16" s="46" t="s">
        <v>172</v>
      </c>
      <c r="E16" s="30" t="s">
        <v>158</v>
      </c>
    </row>
    <row r="17" spans="1:9" ht="15" customHeight="1" x14ac:dyDescent="0.2">
      <c r="B17" s="24" t="s">
        <v>173</v>
      </c>
      <c r="C17" s="26">
        <v>0.98270000000000002</v>
      </c>
      <c r="D17" s="46">
        <f>14784/(14784+258)</f>
        <v>0.98284802552852013</v>
      </c>
      <c r="E17" s="30"/>
    </row>
    <row r="18" spans="1:9" ht="15" customHeight="1" x14ac:dyDescent="0.2">
      <c r="B18" s="24" t="s">
        <v>174</v>
      </c>
      <c r="C18" s="45">
        <v>1.7299999999999999E-2</v>
      </c>
      <c r="D18" s="46">
        <f>258/(14784+258)</f>
        <v>1.7151974471479856E-2</v>
      </c>
      <c r="E18" s="30"/>
    </row>
    <row r="19" spans="1:9" ht="15" customHeight="1" x14ac:dyDescent="0.2">
      <c r="B19" s="33" t="s">
        <v>175</v>
      </c>
      <c r="C19" s="50">
        <v>0.13519999999999999</v>
      </c>
      <c r="D19" s="51" t="s">
        <v>176</v>
      </c>
      <c r="E19" s="18" t="s">
        <v>177</v>
      </c>
    </row>
    <row r="20" spans="1:9" ht="15" customHeight="1" x14ac:dyDescent="0.2">
      <c r="B20" s="3" t="s">
        <v>178</v>
      </c>
      <c r="C20" s="3"/>
      <c r="D20" s="3"/>
      <c r="E20" s="3"/>
    </row>
    <row r="21" spans="1:9" ht="15" customHeight="1" x14ac:dyDescent="0.2">
      <c r="B21" s="24" t="s">
        <v>179</v>
      </c>
      <c r="C21" s="2" t="s">
        <v>180</v>
      </c>
      <c r="D21" s="2"/>
      <c r="E21" s="2"/>
    </row>
    <row r="22" spans="1:9" ht="15" customHeight="1" x14ac:dyDescent="0.2">
      <c r="B22" s="24" t="s">
        <v>181</v>
      </c>
      <c r="C22" s="2" t="s">
        <v>182</v>
      </c>
      <c r="D22" s="2"/>
      <c r="E22" s="2"/>
    </row>
    <row r="23" spans="1:9" ht="15" customHeight="1" x14ac:dyDescent="0.2">
      <c r="B23" s="24" t="s">
        <v>183</v>
      </c>
      <c r="C23" s="2" t="s">
        <v>184</v>
      </c>
      <c r="D23" s="2"/>
      <c r="E23" s="2"/>
    </row>
    <row r="24" spans="1:9" ht="15" customHeight="1" x14ac:dyDescent="0.2">
      <c r="B24" s="33" t="s">
        <v>185</v>
      </c>
      <c r="C24" s="1" t="s">
        <v>186</v>
      </c>
      <c r="D24" s="1"/>
      <c r="E24" s="1"/>
    </row>
    <row r="25" spans="1:9" ht="15" customHeight="1" x14ac:dyDescent="0.2">
      <c r="A25" s="6" t="s">
        <v>72</v>
      </c>
      <c r="B25" s="6"/>
      <c r="C25" s="6"/>
      <c r="D25" s="6"/>
      <c r="E25" s="6"/>
      <c r="F25" s="6"/>
      <c r="G25" s="6"/>
      <c r="H25" s="6"/>
      <c r="I25" s="6"/>
    </row>
  </sheetData>
  <mergeCells count="11">
    <mergeCell ref="A25:I25"/>
    <mergeCell ref="B20:E20"/>
    <mergeCell ref="C21:E21"/>
    <mergeCell ref="C22:E22"/>
    <mergeCell ref="C23:E23"/>
    <mergeCell ref="C24:E24"/>
    <mergeCell ref="A1:I1"/>
    <mergeCell ref="B2:I2"/>
    <mergeCell ref="B4:E4"/>
    <mergeCell ref="B9:E9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zoomScaleNormal="100" workbookViewId="0"/>
  </sheetViews>
  <sheetFormatPr defaultColWidth="8.7421875" defaultRowHeight="15" x14ac:dyDescent="0.2"/>
  <cols>
    <col min="1" max="1" width="2.015625" style="15" customWidth="1"/>
    <col min="2" max="2" width="37.93359375" style="15" customWidth="1"/>
    <col min="3" max="8" width="16.0078125" style="15" customWidth="1"/>
    <col min="9" max="9" width="2.015625" style="15" customWidth="1"/>
  </cols>
  <sheetData>
    <row r="1" spans="1:9" ht="21.75" customHeight="1" x14ac:dyDescent="0.2">
      <c r="A1" s="14" t="s">
        <v>187</v>
      </c>
      <c r="B1" s="14"/>
      <c r="C1" s="14"/>
      <c r="D1" s="14"/>
      <c r="E1" s="14"/>
      <c r="F1" s="14"/>
      <c r="G1" s="14"/>
      <c r="H1" s="14"/>
      <c r="I1" s="14"/>
    </row>
    <row r="2" spans="1:9" ht="27.75" customHeight="1" x14ac:dyDescent="0.2">
      <c r="B2" s="5" t="s">
        <v>188</v>
      </c>
      <c r="C2" s="5"/>
      <c r="D2" s="5"/>
      <c r="E2" s="5"/>
      <c r="F2" s="5"/>
      <c r="G2" s="5"/>
      <c r="H2" s="5"/>
      <c r="I2" s="5"/>
    </row>
    <row r="3" spans="1:9" ht="15.75" customHeight="1" x14ac:dyDescent="0.2">
      <c r="B3" s="10" t="s">
        <v>189</v>
      </c>
      <c r="C3" s="10"/>
      <c r="D3" s="10"/>
      <c r="E3" s="10"/>
      <c r="F3" s="10"/>
      <c r="G3" s="10"/>
      <c r="H3" s="10"/>
    </row>
    <row r="4" spans="1:9" ht="15" customHeight="1" x14ac:dyDescent="0.2">
      <c r="B4" s="62" t="s">
        <v>190</v>
      </c>
      <c r="C4" s="62"/>
      <c r="D4" s="62"/>
      <c r="E4" s="62"/>
      <c r="F4" s="62"/>
      <c r="G4" s="62"/>
      <c r="H4" s="62"/>
    </row>
    <row r="5" spans="1:9" ht="15" customHeight="1" x14ac:dyDescent="0.2">
      <c r="B5" s="24" t="s">
        <v>191</v>
      </c>
      <c r="C5" s="63" t="s">
        <v>38</v>
      </c>
      <c r="D5" s="63"/>
      <c r="E5" s="63"/>
      <c r="F5" s="63"/>
      <c r="G5" s="63"/>
      <c r="H5" s="63"/>
    </row>
    <row r="6" spans="1:9" ht="15" customHeight="1" x14ac:dyDescent="0.2">
      <c r="B6" s="24" t="s">
        <v>192</v>
      </c>
      <c r="C6" s="63" t="s">
        <v>193</v>
      </c>
      <c r="D6" s="63"/>
      <c r="E6" s="63"/>
      <c r="F6" s="63"/>
      <c r="G6" s="63"/>
      <c r="H6" s="63"/>
    </row>
    <row r="7" spans="1:9" ht="15" customHeight="1" x14ac:dyDescent="0.2">
      <c r="B7" s="24" t="s">
        <v>194</v>
      </c>
      <c r="C7" s="63" t="s">
        <v>195</v>
      </c>
      <c r="D7" s="63"/>
      <c r="E7" s="63"/>
      <c r="F7" s="63"/>
      <c r="G7" s="63"/>
      <c r="H7" s="63"/>
    </row>
    <row r="8" spans="1:9" ht="15" customHeight="1" x14ac:dyDescent="0.2">
      <c r="B8" s="24" t="s">
        <v>196</v>
      </c>
      <c r="C8" s="63" t="s">
        <v>197</v>
      </c>
      <c r="D8" s="63"/>
      <c r="E8" s="63"/>
      <c r="F8" s="63"/>
      <c r="G8" s="63"/>
      <c r="H8" s="63"/>
    </row>
    <row r="9" spans="1:9" ht="15" customHeight="1" x14ac:dyDescent="0.2">
      <c r="B9" s="24" t="s">
        <v>198</v>
      </c>
      <c r="C9" s="63" t="s">
        <v>199</v>
      </c>
      <c r="D9" s="63"/>
      <c r="E9" s="63"/>
      <c r="F9" s="63"/>
      <c r="G9" s="63"/>
      <c r="H9" s="63"/>
    </row>
    <row r="10" spans="1:9" ht="15.75" customHeight="1" x14ac:dyDescent="0.2">
      <c r="B10" s="17" t="s">
        <v>75</v>
      </c>
      <c r="C10" s="17" t="s">
        <v>200</v>
      </c>
      <c r="D10" s="17" t="s">
        <v>201</v>
      </c>
      <c r="E10" s="17" t="s">
        <v>202</v>
      </c>
      <c r="F10" s="17" t="s">
        <v>203</v>
      </c>
      <c r="G10" s="17" t="s">
        <v>204</v>
      </c>
      <c r="H10" s="17" t="s">
        <v>205</v>
      </c>
    </row>
    <row r="11" spans="1:9" ht="15" customHeight="1" x14ac:dyDescent="0.2">
      <c r="B11" s="24" t="s">
        <v>206</v>
      </c>
      <c r="C11" s="26">
        <v>1060</v>
      </c>
      <c r="D11" s="26">
        <v>1166</v>
      </c>
      <c r="E11" s="26">
        <v>1283</v>
      </c>
      <c r="F11" s="26">
        <v>1411</v>
      </c>
      <c r="G11" s="26">
        <v>1553</v>
      </c>
      <c r="H11" s="26">
        <v>10185</v>
      </c>
    </row>
    <row r="12" spans="1:9" ht="15" customHeight="1" x14ac:dyDescent="0.2">
      <c r="B12" s="24" t="s">
        <v>207</v>
      </c>
      <c r="C12" s="26">
        <v>0.88109999999999999</v>
      </c>
      <c r="D12" s="26">
        <v>0.77629999999999999</v>
      </c>
      <c r="E12" s="26">
        <v>0.68389999999999995</v>
      </c>
      <c r="F12" s="26">
        <v>0.60260000000000002</v>
      </c>
      <c r="G12" s="26">
        <v>0.53090000000000004</v>
      </c>
      <c r="H12" s="39" t="s">
        <v>83</v>
      </c>
    </row>
    <row r="13" spans="1:9" ht="15" customHeight="1" x14ac:dyDescent="0.2">
      <c r="B13" s="22" t="s">
        <v>208</v>
      </c>
      <c r="C13" s="52">
        <v>934</v>
      </c>
      <c r="D13" s="52">
        <v>905</v>
      </c>
      <c r="E13" s="52">
        <v>878</v>
      </c>
      <c r="F13" s="52">
        <v>850</v>
      </c>
      <c r="G13" s="52">
        <v>824</v>
      </c>
      <c r="H13" s="52">
        <v>10185</v>
      </c>
    </row>
    <row r="14" spans="1:9" ht="15.75" customHeight="1" x14ac:dyDescent="0.2">
      <c r="B14" s="10" t="s">
        <v>209</v>
      </c>
      <c r="C14" s="10"/>
      <c r="D14" s="10"/>
      <c r="E14" s="10"/>
      <c r="F14" s="10"/>
      <c r="G14" s="10"/>
      <c r="H14" s="10"/>
    </row>
    <row r="15" spans="1:9" ht="15" customHeight="1" x14ac:dyDescent="0.2">
      <c r="B15" s="24" t="s">
        <v>210</v>
      </c>
      <c r="C15" s="64">
        <v>4391</v>
      </c>
      <c r="D15" s="64"/>
      <c r="E15" s="64"/>
      <c r="F15" s="64"/>
      <c r="G15" s="64"/>
      <c r="H15" s="64"/>
    </row>
    <row r="16" spans="1:9" ht="15" customHeight="1" x14ac:dyDescent="0.2">
      <c r="B16" s="24" t="s">
        <v>211</v>
      </c>
      <c r="C16" s="64">
        <v>10185</v>
      </c>
      <c r="D16" s="64"/>
      <c r="E16" s="64"/>
      <c r="F16" s="64"/>
      <c r="G16" s="64"/>
      <c r="H16" s="64"/>
    </row>
    <row r="17" spans="1:9" ht="15" customHeight="1" x14ac:dyDescent="0.2">
      <c r="B17" s="24" t="s">
        <v>212</v>
      </c>
      <c r="C17" s="64">
        <v>14576</v>
      </c>
      <c r="D17" s="64"/>
      <c r="E17" s="64"/>
      <c r="F17" s="64"/>
      <c r="G17" s="64"/>
      <c r="H17" s="64"/>
    </row>
    <row r="18" spans="1:9" ht="15" customHeight="1" x14ac:dyDescent="0.2">
      <c r="B18" s="33" t="s">
        <v>213</v>
      </c>
      <c r="C18" s="65">
        <v>797</v>
      </c>
      <c r="D18" s="65"/>
      <c r="E18" s="65"/>
      <c r="F18" s="65"/>
      <c r="G18" s="65"/>
      <c r="H18" s="65"/>
    </row>
    <row r="19" spans="1:9" ht="15" customHeight="1" x14ac:dyDescent="0.2">
      <c r="B19" s="24" t="s">
        <v>214</v>
      </c>
      <c r="C19" s="66">
        <v>-1.36138613861386E-2</v>
      </c>
      <c r="D19" s="66"/>
      <c r="E19" s="66"/>
      <c r="F19" s="66"/>
      <c r="G19" s="66"/>
      <c r="H19" s="66"/>
    </row>
    <row r="20" spans="1:9" ht="15.75" customHeight="1" x14ac:dyDescent="0.2">
      <c r="B20" s="10" t="s">
        <v>215</v>
      </c>
      <c r="C20" s="10"/>
      <c r="D20" s="10"/>
      <c r="E20" s="10"/>
      <c r="F20" s="10"/>
      <c r="G20" s="10"/>
      <c r="H20" s="10"/>
    </row>
    <row r="21" spans="1:9" ht="15.75" customHeight="1" x14ac:dyDescent="0.2">
      <c r="B21" s="17" t="s">
        <v>216</v>
      </c>
      <c r="C21" s="17" t="s">
        <v>217</v>
      </c>
      <c r="D21" s="17" t="s">
        <v>218</v>
      </c>
      <c r="E21" s="17" t="s">
        <v>219</v>
      </c>
      <c r="F21" s="17" t="s">
        <v>220</v>
      </c>
      <c r="G21" s="17" t="s">
        <v>19</v>
      </c>
    </row>
    <row r="22" spans="1:9" ht="15" customHeight="1" x14ac:dyDescent="0.2">
      <c r="B22" s="36" t="s">
        <v>221</v>
      </c>
      <c r="C22" s="53">
        <v>52.66</v>
      </c>
      <c r="D22" s="54" t="s">
        <v>222</v>
      </c>
      <c r="E22" s="55">
        <v>790</v>
      </c>
      <c r="F22" s="56">
        <v>-2.22772277227723E-2</v>
      </c>
      <c r="G22" s="57" t="s">
        <v>223</v>
      </c>
    </row>
    <row r="23" spans="1:9" ht="15" customHeight="1" x14ac:dyDescent="0.2">
      <c r="B23" s="18" t="s">
        <v>224</v>
      </c>
      <c r="C23" s="58">
        <v>52.66</v>
      </c>
      <c r="D23" s="59" t="s">
        <v>225</v>
      </c>
      <c r="E23" s="19">
        <v>948</v>
      </c>
      <c r="F23" s="20">
        <v>0.173267326732673</v>
      </c>
      <c r="G23" s="21" t="s">
        <v>24</v>
      </c>
    </row>
    <row r="24" spans="1:9" ht="15" customHeight="1" x14ac:dyDescent="0.2">
      <c r="B24" s="18" t="s">
        <v>226</v>
      </c>
      <c r="C24" s="58">
        <v>52.66</v>
      </c>
      <c r="D24" s="59" t="s">
        <v>227</v>
      </c>
      <c r="E24" s="19">
        <v>1158</v>
      </c>
      <c r="F24" s="20">
        <v>0.433168316831683</v>
      </c>
      <c r="G24" s="21" t="s">
        <v>228</v>
      </c>
    </row>
    <row r="25" spans="1:9" ht="15" customHeight="1" x14ac:dyDescent="0.2">
      <c r="B25" s="18" t="s">
        <v>229</v>
      </c>
      <c r="C25" s="58">
        <v>52.66</v>
      </c>
      <c r="D25" s="59" t="s">
        <v>230</v>
      </c>
      <c r="E25" s="19">
        <v>1317</v>
      </c>
      <c r="F25" s="20">
        <v>0.62995049504950495</v>
      </c>
      <c r="G25" s="21" t="s">
        <v>231</v>
      </c>
    </row>
    <row r="26" spans="1:9" ht="15" customHeight="1" x14ac:dyDescent="0.2">
      <c r="B26" s="36" t="s">
        <v>232</v>
      </c>
      <c r="C26" s="53">
        <v>44.52</v>
      </c>
      <c r="D26" s="54" t="s">
        <v>225</v>
      </c>
      <c r="E26" s="55">
        <v>801</v>
      </c>
      <c r="F26" s="56">
        <v>-8.6633663366336607E-3</v>
      </c>
      <c r="G26" s="57" t="s">
        <v>233</v>
      </c>
    </row>
    <row r="27" spans="1:9" ht="15" customHeight="1" x14ac:dyDescent="0.2">
      <c r="B27" s="36" t="s">
        <v>234</v>
      </c>
      <c r="C27" s="53">
        <v>43.7</v>
      </c>
      <c r="D27" s="54" t="s">
        <v>225</v>
      </c>
      <c r="E27" s="55">
        <v>787</v>
      </c>
      <c r="F27" s="56">
        <v>-2.5990099009900999E-2</v>
      </c>
      <c r="G27" s="57" t="s">
        <v>235</v>
      </c>
    </row>
    <row r="28" spans="1:9" ht="15" customHeight="1" x14ac:dyDescent="0.2">
      <c r="B28" s="18" t="s">
        <v>236</v>
      </c>
      <c r="C28" s="58">
        <v>57.4</v>
      </c>
      <c r="D28" s="59" t="s">
        <v>225</v>
      </c>
      <c r="E28" s="19">
        <v>1033</v>
      </c>
      <c r="F28" s="20">
        <v>0.27846534653465399</v>
      </c>
      <c r="G28" s="21" t="s">
        <v>24</v>
      </c>
    </row>
    <row r="29" spans="1:9" ht="15" customHeight="1" x14ac:dyDescent="0.2">
      <c r="B29" s="18" t="s">
        <v>237</v>
      </c>
      <c r="C29" s="58">
        <v>57.4</v>
      </c>
      <c r="D29" s="59" t="s">
        <v>227</v>
      </c>
      <c r="E29" s="19">
        <v>1263</v>
      </c>
      <c r="F29" s="20">
        <v>0.56311881188118795</v>
      </c>
      <c r="G29" s="21" t="s">
        <v>228</v>
      </c>
    </row>
    <row r="30" spans="1:9" ht="54.75" customHeight="1" x14ac:dyDescent="0.2">
      <c r="B30" s="8" t="s">
        <v>238</v>
      </c>
      <c r="C30" s="8"/>
      <c r="D30" s="8"/>
      <c r="E30" s="8"/>
      <c r="F30" s="8"/>
      <c r="G30" s="8"/>
      <c r="H30" s="8"/>
    </row>
    <row r="31" spans="1:9" ht="15" customHeight="1" x14ac:dyDescent="0.2">
      <c r="A31" s="6" t="s">
        <v>72</v>
      </c>
      <c r="B31" s="6"/>
      <c r="C31" s="6"/>
      <c r="D31" s="6"/>
      <c r="E31" s="6"/>
      <c r="F31" s="6"/>
      <c r="G31" s="6"/>
      <c r="H31" s="6"/>
      <c r="I31" s="6"/>
    </row>
  </sheetData>
  <mergeCells count="18">
    <mergeCell ref="B20:H20"/>
    <mergeCell ref="B30:H30"/>
    <mergeCell ref="A31:I31"/>
    <mergeCell ref="C15:H15"/>
    <mergeCell ref="C16:H16"/>
    <mergeCell ref="C17:H17"/>
    <mergeCell ref="C18:H18"/>
    <mergeCell ref="C19:H19"/>
    <mergeCell ref="C6:H6"/>
    <mergeCell ref="C7:H7"/>
    <mergeCell ref="C8:H8"/>
    <mergeCell ref="C9:H9"/>
    <mergeCell ref="B14:H14"/>
    <mergeCell ref="A1:I1"/>
    <mergeCell ref="B2:I2"/>
    <mergeCell ref="B3:H3"/>
    <mergeCell ref="B4:H4"/>
    <mergeCell ref="C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zoomScaleNormal="100" workbookViewId="0"/>
  </sheetViews>
  <sheetFormatPr defaultColWidth="8.7421875" defaultRowHeight="15" x14ac:dyDescent="0.2"/>
  <cols>
    <col min="1" max="1" width="2.015625" style="15" customWidth="1"/>
    <col min="2" max="2" width="32.015625" style="15" customWidth="1"/>
    <col min="3" max="4" width="18.0234375" style="15" customWidth="1"/>
    <col min="5" max="5" width="22.05859375" style="15" customWidth="1"/>
    <col min="6" max="7" width="13.98828125" style="15" customWidth="1"/>
    <col min="8" max="9" width="2.015625" style="15" customWidth="1"/>
  </cols>
  <sheetData>
    <row r="1" spans="1:9" ht="21.75" customHeight="1" x14ac:dyDescent="0.2">
      <c r="A1" s="14" t="s">
        <v>239</v>
      </c>
      <c r="B1" s="14"/>
      <c r="C1" s="14"/>
      <c r="D1" s="14"/>
      <c r="E1" s="14"/>
      <c r="F1" s="14"/>
      <c r="G1" s="14"/>
      <c r="H1" s="14"/>
      <c r="I1" s="14"/>
    </row>
    <row r="2" spans="1:9" ht="27.75" customHeight="1" x14ac:dyDescent="0.2">
      <c r="B2" s="5" t="s">
        <v>240</v>
      </c>
      <c r="C2" s="5"/>
      <c r="D2" s="5"/>
      <c r="E2" s="5"/>
      <c r="F2" s="5"/>
      <c r="G2" s="5"/>
      <c r="H2" s="5"/>
      <c r="I2" s="5"/>
    </row>
    <row r="3" spans="1:9" ht="15.75" customHeight="1" x14ac:dyDescent="0.2">
      <c r="B3" s="17" t="s">
        <v>241</v>
      </c>
      <c r="C3" s="17" t="s">
        <v>242</v>
      </c>
      <c r="D3" s="17" t="s">
        <v>243</v>
      </c>
      <c r="E3" s="17" t="s">
        <v>244</v>
      </c>
      <c r="F3" s="17" t="s">
        <v>219</v>
      </c>
      <c r="G3" s="17" t="s">
        <v>245</v>
      </c>
    </row>
    <row r="4" spans="1:9" ht="15" customHeight="1" x14ac:dyDescent="0.2">
      <c r="B4" s="18" t="s">
        <v>246</v>
      </c>
      <c r="C4" s="60" t="s">
        <v>46</v>
      </c>
      <c r="D4" s="60" t="s">
        <v>225</v>
      </c>
      <c r="E4" s="20">
        <v>-0.15</v>
      </c>
      <c r="F4" s="19">
        <v>948</v>
      </c>
      <c r="G4" s="20">
        <v>0.173267326732673</v>
      </c>
    </row>
    <row r="5" spans="1:9" ht="15" customHeight="1" x14ac:dyDescent="0.2">
      <c r="B5" s="36" t="s">
        <v>247</v>
      </c>
      <c r="C5" s="61" t="s">
        <v>48</v>
      </c>
      <c r="D5" s="61" t="s">
        <v>248</v>
      </c>
      <c r="E5" s="56">
        <v>6.0000000000000001E-3</v>
      </c>
      <c r="F5" s="55">
        <v>804</v>
      </c>
      <c r="G5" s="56">
        <v>-4.9504950495049497E-3</v>
      </c>
    </row>
    <row r="6" spans="1:9" ht="15" customHeight="1" x14ac:dyDescent="0.2">
      <c r="B6" s="18" t="s">
        <v>249</v>
      </c>
      <c r="C6" s="60" t="s">
        <v>250</v>
      </c>
      <c r="D6" s="60" t="s">
        <v>251</v>
      </c>
      <c r="E6" s="20">
        <v>-0.24</v>
      </c>
      <c r="F6" s="19">
        <v>1060</v>
      </c>
      <c r="G6" s="20">
        <v>0.31188118811881199</v>
      </c>
    </row>
    <row r="7" spans="1:9" ht="15" customHeight="1" x14ac:dyDescent="0.2">
      <c r="B7" s="18" t="s">
        <v>252</v>
      </c>
      <c r="C7" s="60" t="s">
        <v>253</v>
      </c>
      <c r="D7" s="60" t="s">
        <v>254</v>
      </c>
      <c r="E7" s="20">
        <v>-0.2</v>
      </c>
      <c r="F7" s="19">
        <v>1010</v>
      </c>
      <c r="G7" s="20">
        <v>0.25</v>
      </c>
    </row>
    <row r="8" spans="1:9" ht="15" customHeight="1" x14ac:dyDescent="0.2">
      <c r="B8" s="36" t="s">
        <v>255</v>
      </c>
      <c r="C8" s="61" t="s">
        <v>256</v>
      </c>
      <c r="D8" s="61" t="s">
        <v>257</v>
      </c>
      <c r="E8" s="56">
        <v>0.05</v>
      </c>
      <c r="F8" s="55">
        <v>770</v>
      </c>
      <c r="G8" s="56">
        <v>-4.7029702970297002E-2</v>
      </c>
    </row>
    <row r="9" spans="1:9" ht="15.75" customHeight="1" x14ac:dyDescent="0.2">
      <c r="B9" s="10" t="s">
        <v>258</v>
      </c>
      <c r="C9" s="10"/>
      <c r="D9" s="10"/>
      <c r="E9" s="10"/>
      <c r="F9" s="10"/>
      <c r="G9" s="10"/>
      <c r="H9" s="10"/>
    </row>
    <row r="10" spans="1:9" ht="15.75" customHeight="1" x14ac:dyDescent="0.2">
      <c r="B10" s="17" t="s">
        <v>259</v>
      </c>
      <c r="C10" s="17" t="s">
        <v>260</v>
      </c>
      <c r="D10" s="17" t="s">
        <v>261</v>
      </c>
      <c r="E10" s="17" t="s">
        <v>262</v>
      </c>
      <c r="F10" s="17" t="s">
        <v>263</v>
      </c>
      <c r="G10" s="17" t="s">
        <v>264</v>
      </c>
    </row>
    <row r="11" spans="1:9" ht="15" customHeight="1" x14ac:dyDescent="0.2">
      <c r="B11" s="22" t="s">
        <v>265</v>
      </c>
      <c r="C11" s="22" t="s">
        <v>266</v>
      </c>
      <c r="D11" s="22" t="s">
        <v>267</v>
      </c>
      <c r="E11" s="22" t="s">
        <v>46</v>
      </c>
      <c r="F11" s="22" t="s">
        <v>62</v>
      </c>
      <c r="G11" s="22" t="s">
        <v>268</v>
      </c>
    </row>
    <row r="12" spans="1:9" ht="15" customHeight="1" x14ac:dyDescent="0.2">
      <c r="B12" s="30" t="s">
        <v>269</v>
      </c>
      <c r="C12" s="30" t="s">
        <v>270</v>
      </c>
      <c r="D12" s="30" t="s">
        <v>271</v>
      </c>
      <c r="E12" s="30" t="s">
        <v>272</v>
      </c>
      <c r="F12" s="30" t="s">
        <v>273</v>
      </c>
      <c r="G12" s="30" t="s">
        <v>274</v>
      </c>
    </row>
    <row r="13" spans="1:9" ht="15" customHeight="1" x14ac:dyDescent="0.2">
      <c r="B13" s="30" t="s">
        <v>275</v>
      </c>
      <c r="C13" s="30" t="s">
        <v>276</v>
      </c>
      <c r="D13" s="30" t="s">
        <v>277</v>
      </c>
      <c r="E13" s="30" t="s">
        <v>278</v>
      </c>
      <c r="F13" s="30" t="s">
        <v>279</v>
      </c>
      <c r="G13" s="30" t="s">
        <v>280</v>
      </c>
    </row>
    <row r="14" spans="1:9" ht="15" customHeight="1" x14ac:dyDescent="0.2">
      <c r="B14" s="30" t="s">
        <v>281</v>
      </c>
      <c r="C14" s="30" t="s">
        <v>282</v>
      </c>
      <c r="D14" s="30" t="s">
        <v>283</v>
      </c>
      <c r="E14" s="30" t="s">
        <v>284</v>
      </c>
      <c r="F14" s="30" t="s">
        <v>285</v>
      </c>
      <c r="G14" s="30" t="s">
        <v>280</v>
      </c>
    </row>
    <row r="15" spans="1:9" ht="15" customHeight="1" x14ac:dyDescent="0.2">
      <c r="B15" s="30" t="s">
        <v>286</v>
      </c>
      <c r="C15" s="30" t="s">
        <v>287</v>
      </c>
      <c r="D15" s="30" t="s">
        <v>288</v>
      </c>
      <c r="E15" s="30" t="s">
        <v>289</v>
      </c>
      <c r="F15" s="30" t="s">
        <v>290</v>
      </c>
      <c r="G15" s="30" t="s">
        <v>291</v>
      </c>
    </row>
    <row r="16" spans="1:9" ht="15" customHeight="1" x14ac:dyDescent="0.2">
      <c r="B16" s="30" t="s">
        <v>292</v>
      </c>
      <c r="C16" s="30" t="s">
        <v>293</v>
      </c>
      <c r="D16" s="30" t="s">
        <v>294</v>
      </c>
      <c r="E16" s="30" t="s">
        <v>248</v>
      </c>
      <c r="F16" s="30" t="s">
        <v>295</v>
      </c>
      <c r="G16" s="30" t="s">
        <v>291</v>
      </c>
    </row>
    <row r="17" spans="1:9" ht="54.75" customHeight="1" x14ac:dyDescent="0.2">
      <c r="B17" s="4" t="s">
        <v>296</v>
      </c>
      <c r="C17" s="4"/>
      <c r="D17" s="4"/>
      <c r="E17" s="4"/>
      <c r="F17" s="4"/>
      <c r="G17" s="4"/>
      <c r="H17" s="4"/>
    </row>
    <row r="18" spans="1:9" ht="15" customHeight="1" x14ac:dyDescent="0.2">
      <c r="A18" s="6" t="s">
        <v>72</v>
      </c>
      <c r="B18" s="6"/>
      <c r="C18" s="6"/>
      <c r="D18" s="6"/>
      <c r="E18" s="6"/>
      <c r="F18" s="6"/>
      <c r="G18" s="6"/>
      <c r="H18" s="6"/>
      <c r="I18" s="6"/>
    </row>
  </sheetData>
  <mergeCells count="5">
    <mergeCell ref="A1:I1"/>
    <mergeCell ref="B2:I2"/>
    <mergeCell ref="B9:H9"/>
    <mergeCell ref="B17:H17"/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Verdict</vt:lpstr>
      <vt:lpstr>P&amp;L Statement</vt:lpstr>
      <vt:lpstr>Balance Sheet</vt:lpstr>
      <vt:lpstr>Cash Flow</vt:lpstr>
      <vt:lpstr>WACC</vt:lpstr>
      <vt:lpstr>DCF</vt:lpstr>
      <vt:lpstr>Trading Multiples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2026-03-18T19:17:18Z</dcterms:created>
  <dcterms:modified xsi:type="dcterms:W3CDTF">2026-03-18T19:17:43Z</dcterms:modified>
  <dc:language>en-US</dc:language>
</cp:coreProperties>
</file>